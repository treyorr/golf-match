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5"/>
    <sheet state="visible" name="Match Log" sheetId="2" r:id="rId6"/>
    <sheet state="visible" name="Stats" sheetId="3" r:id="rId7"/>
    <sheet state="visible" name="Empty Scorecard Template" sheetId="4" r:id="rId8"/>
    <sheet state="visible" name="Rio Pinar GC - 2026-06-13" sheetId="5" r:id="rId9"/>
    <sheet state="visible" name="Deer Island CC - 2026-05-31" sheetId="6" r:id="rId10"/>
    <sheet state="visible" name="Marsh Landing CC - 2026-05-23" sheetId="7" r:id="rId11"/>
    <sheet state="visible" name="Rio Pinar GC - 2026-05-10" sheetId="8" r:id="rId12"/>
    <sheet state="visible" name="Clermont National - 2026-05-03" sheetId="9" r:id="rId13"/>
    <sheet state="visible" name="Stoney Brooke East GC - 2026-04" sheetId="10" r:id="rId14"/>
    <sheet state="visible" name="Eagle Creek GC - 2526-04-01" sheetId="11" r:id="rId15"/>
    <sheet state="visible" name="Legacy at Alaqua Lakes - 2026-0" sheetId="12" r:id="rId16"/>
    <sheet state="visible" name="North Shore GC - 2026-04-04" sheetId="13" r:id="rId17"/>
    <sheet state="visible" name="Twin Rivers GC - 2026-03-28" sheetId="14" r:id="rId18"/>
    <sheet state="visible" name="Clermont National - 2026-03-22" sheetId="15" r:id="rId19"/>
    <sheet state="visible" name="Stoney Brooke East - 2026-03-04" sheetId="16" r:id="rId20"/>
    <sheet state="visible" name="Wekiva GC - 2026-02-28" sheetId="17" r:id="rId21"/>
    <sheet state="visible" name="Stoney Brooke East - 2026-02-21" sheetId="18" r:id="rId22"/>
    <sheet state="visible" name="Royal St Cloud - 2026-02-16" sheetId="19" r:id="rId23"/>
    <sheet state="visible" name="Wedgefield GC - 2026-02-07" sheetId="20" r:id="rId24"/>
    <sheet state="visible" name="Twin Rivers GC - 2026-01-31" sheetId="21" r:id="rId25"/>
    <sheet state="visible" name="Wekiva GC - 2026-01-19" sheetId="22" r:id="rId26"/>
    <sheet state="visible" name="Heathrow CC - 2026-01-17" sheetId="23" r:id="rId27"/>
    <sheet state="visible" name="Eagle Creek GC - 2026-01-01" sheetId="24" r:id="rId28"/>
  </sheets>
  <definedNames/>
  <calcPr/>
</workbook>
</file>

<file path=xl/sharedStrings.xml><?xml version="1.0" encoding="utf-8"?>
<sst xmlns="http://schemas.openxmlformats.org/spreadsheetml/2006/main" count="725" uniqueCount="88">
  <si>
    <t>1v1 Match-Play Rules</t>
  </si>
  <si>
    <t>Win With</t>
  </si>
  <si>
    <t>Symbol</t>
  </si>
  <si>
    <t>Points</t>
  </si>
  <si>
    <t>Player 1</t>
  </si>
  <si>
    <t>Player 2</t>
  </si>
  <si>
    <t>#1</t>
  </si>
  <si>
    <t>1 Mulligan Per Side, Can be used on any shot except putts</t>
  </si>
  <si>
    <t>Eagle</t>
  </si>
  <si>
    <t>🦅</t>
  </si>
  <si>
    <t>Trent</t>
  </si>
  <si>
    <t>Trey</t>
  </si>
  <si>
    <t>#2</t>
  </si>
  <si>
    <t>Hole value is determined by RNG ($1-$5), unless otherwise agreed upon</t>
  </si>
  <si>
    <t>Birdie</t>
  </si>
  <si>
    <t>🐥</t>
  </si>
  <si>
    <t>#3</t>
  </si>
  <si>
    <t>Point Values for Winning a Hole are as it states right</t>
  </si>
  <si>
    <t>Par</t>
  </si>
  <si>
    <t>🚩</t>
  </si>
  <si>
    <t>#4</t>
  </si>
  <si>
    <t>Albatross or Hole in One is worth 20 Points</t>
  </si>
  <si>
    <t>Bogey</t>
  </si>
  <si>
    <t>🧻</t>
  </si>
  <si>
    <t>#5</t>
  </si>
  <si>
    <t>Triple Bogey Max Score per Hole</t>
  </si>
  <si>
    <t>Double</t>
  </si>
  <si>
    <t>💩</t>
  </si>
  <si>
    <t>Money</t>
  </si>
  <si>
    <t>Match Log</t>
  </si>
  <si>
    <t>Course</t>
  </si>
  <si>
    <t>Date</t>
  </si>
  <si>
    <t>Winner</t>
  </si>
  <si>
    <t>Margin</t>
  </si>
  <si>
    <t>Hole Value</t>
  </si>
  <si>
    <t>Money Won</t>
  </si>
  <si>
    <t>Front Nine</t>
  </si>
  <si>
    <t>Back Nine</t>
  </si>
  <si>
    <t>Total Score</t>
  </si>
  <si>
    <t>To Par</t>
  </si>
  <si>
    <t>Eagles</t>
  </si>
  <si>
    <t>Birdies</t>
  </si>
  <si>
    <t>Pars</t>
  </si>
  <si>
    <t>Bogeys</t>
  </si>
  <si>
    <t>Doubles</t>
  </si>
  <si>
    <t>Triples</t>
  </si>
  <si>
    <t>Eagle Creek GC</t>
  </si>
  <si>
    <t>Heathrow CC</t>
  </si>
  <si>
    <t>Wekiva GC</t>
  </si>
  <si>
    <t>Twin Rivers GC</t>
  </si>
  <si>
    <t>Wedgefield GC</t>
  </si>
  <si>
    <t>Royal St Cloud GC</t>
  </si>
  <si>
    <t>Stoneybrook East GC</t>
  </si>
  <si>
    <t>Clermont National</t>
  </si>
  <si>
    <t>North Shore GC</t>
  </si>
  <si>
    <t>Legacy at Alaqua Lakes</t>
  </si>
  <si>
    <t>Stoney Brooke East GC</t>
  </si>
  <si>
    <t>Rio Pinar GC</t>
  </si>
  <si>
    <t>Marsh Landing CC</t>
  </si>
  <si>
    <t>Deer Island CC</t>
  </si>
  <si>
    <t>Year Long Stats</t>
  </si>
  <si>
    <t>Year Long Standings</t>
  </si>
  <si>
    <t>Avg</t>
  </si>
  <si>
    <t>Front 9</t>
  </si>
  <si>
    <t>Back 9</t>
  </si>
  <si>
    <t>18 Holes</t>
  </si>
  <si>
    <t>Point Leader</t>
  </si>
  <si>
    <t>Money Leader</t>
  </si>
  <si>
    <t>Money Up</t>
  </si>
  <si>
    <t>Holes Played</t>
  </si>
  <si>
    <t>☠️</t>
  </si>
  <si>
    <t>Matches Played</t>
  </si>
  <si>
    <t>(Insert Course Name)</t>
  </si>
  <si>
    <t>SCORECARD</t>
  </si>
  <si>
    <t>Match Stats</t>
  </si>
  <si>
    <t>(Date Played)</t>
  </si>
  <si>
    <t>PAR</t>
  </si>
  <si>
    <t>(Insert Hole Value)</t>
  </si>
  <si>
    <t>Holes Won</t>
  </si>
  <si>
    <t>Points Won</t>
  </si>
  <si>
    <t>Result</t>
  </si>
  <si>
    <t>Running Match Score</t>
  </si>
  <si>
    <t>Match Points Awarded</t>
  </si>
  <si>
    <t>Trent Running Points Won</t>
  </si>
  <si>
    <t>Trey Running Points Won</t>
  </si>
  <si>
    <t>Stoney Brooke East</t>
  </si>
  <si>
    <t xml:space="preserve"> b</t>
  </si>
  <si>
    <t>Royal St 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</si>
</sst>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&quot;$&quot;#,##0"/>
    <numFmt numFmtId="166" formatCode="mm/dd/yyyy"/>
    <numFmt numFmtId="167" formatCode="mm/dd/yy"/>
    <numFmt numFmtId="168" formatCode="m/d/yy"/>
    <numFmt numFmtId="169" formatCode="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sz val="10.0"/>
      <color theme="1"/>
      <name val="Arial"/>
      <scheme val="minor"/>
    </font>
    <font>
      <sz val="8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EA9999"/>
        <bgColor rgb="FFEA9999"/>
      </patternFill>
    </fill>
    <fill>
      <patternFill patternType="solid">
        <fgColor rgb="FF0B8043"/>
        <bgColor rgb="FF0B8043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3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Font="1"/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7" fillId="3" fontId="5" numFmtId="165" xfId="0" applyAlignment="1" applyBorder="1" applyFill="1" applyFont="1" applyNumberFormat="1">
      <alignment horizontal="center" readingOrder="0" vertical="center"/>
    </xf>
    <xf borderId="7" fillId="0" fontId="2" numFmtId="0" xfId="0" applyBorder="1" applyFont="1"/>
    <xf borderId="7" fillId="4" fontId="6" numFmtId="0" xfId="0" applyAlignment="1" applyBorder="1" applyFill="1" applyFont="1">
      <alignment horizontal="center" readingOrder="0" vertical="center"/>
    </xf>
    <xf borderId="7" fillId="5" fontId="6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16" fillId="0" fontId="6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center" readingOrder="0" textRotation="180"/>
    </xf>
    <xf borderId="16" fillId="0" fontId="6" numFmtId="165" xfId="0" applyAlignment="1" applyBorder="1" applyFont="1" applyNumberFormat="1">
      <alignment horizontal="center" readingOrder="0" textRotation="180"/>
    </xf>
    <xf borderId="17" fillId="0" fontId="6" numFmtId="0" xfId="0" applyAlignment="1" applyBorder="1" applyFont="1">
      <alignment horizontal="center" readingOrder="0" textRotation="180"/>
    </xf>
    <xf borderId="18" fillId="0" fontId="6" numFmtId="0" xfId="0" applyAlignment="1" applyBorder="1" applyFont="1">
      <alignment horizontal="center" readingOrder="0" textRotation="180"/>
    </xf>
    <xf borderId="0" fillId="0" fontId="1" numFmtId="0" xfId="0" applyAlignment="1" applyFont="1">
      <alignment horizontal="right" readingOrder="0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/>
    </xf>
    <xf borderId="0" fillId="0" fontId="6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11" fillId="0" fontId="1" numFmtId="0" xfId="0" applyBorder="1" applyFont="1"/>
    <xf borderId="12" fillId="0" fontId="1" numFmtId="0" xfId="0" applyBorder="1" applyFont="1"/>
    <xf borderId="19" fillId="0" fontId="6" numFmtId="0" xfId="0" applyAlignment="1" applyBorder="1" applyFont="1">
      <alignment horizontal="center" readingOrder="0" vertical="bottom"/>
    </xf>
    <xf borderId="20" fillId="0" fontId="2" numFmtId="0" xfId="0" applyBorder="1" applyFont="1"/>
    <xf borderId="21" fillId="0" fontId="2" numFmtId="0" xfId="0" applyBorder="1" applyFont="1"/>
    <xf borderId="0" fillId="0" fontId="6" numFmtId="0" xfId="0" applyAlignment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2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horizontal="center" vertical="center"/>
    </xf>
    <xf borderId="0" fillId="4" fontId="6" numFmtId="0" xfId="0" applyAlignment="1" applyFont="1">
      <alignment horizontal="center" readingOrder="0" vertical="center"/>
    </xf>
    <xf borderId="0" fillId="3" fontId="5" numFmtId="165" xfId="0" applyAlignment="1" applyFont="1" applyNumberForma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12" fillId="0" fontId="2" numFmtId="0" xfId="0" applyBorder="1" applyFont="1"/>
    <xf borderId="11" fillId="0" fontId="6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1" xfId="0" applyAlignment="1" applyBorder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12" fillId="0" fontId="7" numFmtId="9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1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readingOrder="0"/>
    </xf>
    <xf borderId="15" fillId="6" fontId="5" numFmtId="164" xfId="0" applyAlignment="1" applyBorder="1" applyFill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7" numFmtId="9" xfId="0" applyAlignment="1" applyBorder="1" applyFont="1" applyNumberFormat="1">
      <alignment horizontal="center" vertical="center"/>
    </xf>
    <xf borderId="15" fillId="0" fontId="7" numFmtId="9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readingOrder="0"/>
    </xf>
    <xf borderId="7" fillId="0" fontId="6" numFmtId="0" xfId="0" applyAlignment="1" applyBorder="1" applyFont="1">
      <alignment horizontal="center" readingOrder="0"/>
    </xf>
    <xf borderId="26" fillId="0" fontId="6" numFmtId="0" xfId="0" applyAlignment="1" applyBorder="1" applyFont="1">
      <alignment horizontal="center" readingOrder="0" vertical="center"/>
    </xf>
    <xf borderId="27" fillId="0" fontId="2" numFmtId="0" xfId="0" applyBorder="1" applyFont="1"/>
    <xf borderId="28" fillId="0" fontId="2" numFmtId="0" xfId="0" applyBorder="1" applyFont="1"/>
    <xf borderId="29" fillId="0" fontId="1" numFmtId="0" xfId="0" applyAlignment="1" applyBorder="1" applyFont="1">
      <alignment horizontal="right" readingOrder="0"/>
    </xf>
    <xf borderId="0" fillId="7" fontId="6" numFmtId="0" xfId="0" applyAlignment="1" applyFill="1" applyFont="1">
      <alignment horizontal="center" readingOrder="0"/>
    </xf>
    <xf borderId="12" fillId="7" fontId="6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vertical="center"/>
    </xf>
    <xf borderId="8" fillId="5" fontId="6" numFmtId="0" xfId="0" applyAlignment="1" applyBorder="1" applyFont="1">
      <alignment horizontal="center" readingOrder="0" vertical="center"/>
    </xf>
    <xf borderId="0" fillId="8" fontId="6" numFmtId="0" xfId="0" applyAlignment="1" applyFill="1" applyFont="1">
      <alignment horizontal="center"/>
    </xf>
    <xf borderId="0" fillId="9" fontId="6" numFmtId="0" xfId="0" applyAlignment="1" applyFill="1" applyFont="1">
      <alignment horizontal="center" readingOrder="0"/>
    </xf>
    <xf borderId="30" fillId="4" fontId="6" numFmtId="0" xfId="0" applyAlignment="1" applyBorder="1" applyFont="1">
      <alignment horizontal="center" readingOrder="0" vertical="center"/>
    </xf>
    <xf borderId="31" fillId="0" fontId="1" numFmtId="0" xfId="0" applyAlignment="1" applyBorder="1" applyFont="1">
      <alignment horizontal="center" readingOrder="0" vertical="center"/>
    </xf>
    <xf borderId="31" fillId="8" fontId="6" numFmtId="0" xfId="0" applyAlignment="1" applyBorder="1" applyFont="1">
      <alignment horizontal="center" vertical="center"/>
    </xf>
    <xf borderId="31" fillId="9" fontId="6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1" numFmtId="0" xfId="0" applyAlignment="1" applyBorder="1" applyFont="1">
      <alignment horizontal="center" vertical="center"/>
    </xf>
    <xf borderId="34" fillId="0" fontId="2" numFmtId="0" xfId="0" applyBorder="1" applyFont="1"/>
    <xf borderId="34" fillId="0" fontId="1" numFmtId="0" xfId="0" applyAlignment="1" applyBorder="1" applyFont="1">
      <alignment vertical="center"/>
    </xf>
    <xf borderId="35" fillId="0" fontId="2" numFmtId="0" xfId="0" applyBorder="1" applyFont="1"/>
    <xf borderId="30" fillId="5" fontId="6" numFmtId="0" xfId="0" applyAlignment="1" applyBorder="1" applyFont="1">
      <alignment horizontal="center" readingOrder="0" vertical="center"/>
    </xf>
    <xf borderId="36" fillId="0" fontId="2" numFmtId="0" xfId="0" applyBorder="1" applyFont="1"/>
    <xf borderId="14" fillId="0" fontId="2" numFmtId="0" xfId="0" applyBorder="1" applyFont="1"/>
    <xf borderId="14" fillId="0" fontId="1" numFmtId="0" xfId="0" applyAlignment="1" applyBorder="1" applyFont="1">
      <alignment vertical="center"/>
    </xf>
    <xf borderId="15" fillId="0" fontId="2" numFmtId="0" xfId="0" applyBorder="1" applyFont="1"/>
    <xf borderId="15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0" fillId="10" fontId="6" numFmtId="0" xfId="0" applyAlignment="1" applyFill="1" applyFont="1">
      <alignment horizontal="center" readingOrder="0" vertical="center"/>
    </xf>
    <xf borderId="0" fillId="10" fontId="6" numFmtId="0" xfId="0" applyAlignment="1" applyFont="1">
      <alignment horizontal="center" vertical="center"/>
    </xf>
    <xf borderId="0" fillId="4" fontId="6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29" fillId="0" fontId="1" numFmtId="166" xfId="0" applyAlignment="1" applyBorder="1" applyFont="1" applyNumberFormat="1">
      <alignment horizontal="right" readingOrder="0"/>
    </xf>
    <xf borderId="0" fillId="10" fontId="6" numFmtId="165" xfId="0" applyAlignment="1" applyFont="1" applyNumberFormat="1">
      <alignment horizontal="center" vertical="center"/>
    </xf>
    <xf borderId="29" fillId="0" fontId="1" numFmtId="167" xfId="0" applyAlignment="1" applyBorder="1" applyFont="1" applyNumberFormat="1">
      <alignment horizontal="right" readingOrder="0"/>
    </xf>
    <xf borderId="29" fillId="0" fontId="1" numFmtId="168" xfId="0" applyAlignment="1" applyBorder="1" applyFont="1" applyNumberFormat="1">
      <alignment horizontal="right" readingOrder="0"/>
    </xf>
    <xf borderId="29" fillId="0" fontId="1" numFmtId="169" xfId="0" applyAlignment="1" applyBorder="1" applyFont="1" applyNumberFormat="1">
      <alignment horizontal="right" readingOrder="0"/>
    </xf>
    <xf borderId="3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10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>
        <b/>
      </font>
      <fill>
        <patternFill patternType="solid">
          <fgColor rgb="FFEA9999"/>
          <bgColor rgb="FFEA9999"/>
        </patternFill>
      </fill>
      <border/>
    </dxf>
    <dxf>
      <font>
        <b/>
      </font>
      <fill>
        <patternFill patternType="solid">
          <fgColor theme="9"/>
          <bgColor theme="9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47625</xdr:colOff>
      <xdr:row>4</xdr:row>
      <xdr:rowOff>19050</xdr:rowOff>
    </xdr:from>
    <xdr:ext cx="1162050" cy="933450"/>
    <xdr:grpSp>
      <xdr:nvGrpSpPr>
        <xdr:cNvPr id="2" name="Shape 2" title="Drawing"/>
        <xdr:cNvGrpSpPr/>
      </xdr:nvGrpSpPr>
      <xdr:grpSpPr>
        <a:xfrm>
          <a:off x="3318125" y="3617050"/>
          <a:ext cx="3015000" cy="2437200"/>
          <a:chOff x="3318125" y="3617050"/>
          <a:chExt cx="3015000" cy="2437200"/>
        </a:xfrm>
      </xdr:grpSpPr>
      <xdr:sp>
        <xdr:nvSpPr>
          <xdr:cNvPr id="3" name="Shape 3"/>
          <xdr:cNvSpPr/>
        </xdr:nvSpPr>
        <xdr:spPr>
          <a:xfrm>
            <a:off x="3607025" y="3617050"/>
            <a:ext cx="2437200" cy="2437200"/>
          </a:xfrm>
          <a:prstGeom prst="ellipse">
            <a:avLst/>
          </a:prstGeom>
          <a:solidFill>
            <a:srgbClr val="6AA84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318125" y="4448800"/>
            <a:ext cx="3015000" cy="773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200"/>
              <a:t>UPLOAD </a:t>
            </a:r>
            <a:r>
              <a:rPr lang="en-US" sz="2700"/>
              <a:t>SCORECARD</a:t>
            </a:r>
            <a:endParaRPr sz="3000"/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4.5"/>
    <col customWidth="1" min="3" max="3" width="54.88"/>
    <col customWidth="1" min="4" max="4" width="4.88"/>
    <col customWidth="1" min="5" max="5" width="10.75"/>
    <col customWidth="1" min="6" max="6" width="6.5"/>
    <col customWidth="1" min="7" max="7" width="5.63"/>
    <col customWidth="1" min="8" max="8" width="3.25"/>
    <col customWidth="1" min="9" max="9" width="7.25"/>
    <col customWidth="1" min="10" max="10" width="7.13"/>
    <col customWidth="1" min="11" max="14" width="4.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0</v>
      </c>
      <c r="C2" s="3"/>
      <c r="D2" s="1"/>
      <c r="E2" s="4" t="s">
        <v>1</v>
      </c>
      <c r="F2" s="5" t="s">
        <v>2</v>
      </c>
      <c r="G2" s="4" t="s">
        <v>3</v>
      </c>
      <c r="I2" s="6" t="s">
        <v>4</v>
      </c>
      <c r="J2" s="7" t="s">
        <v>5</v>
      </c>
      <c r="K2" s="8"/>
      <c r="L2" s="8"/>
      <c r="M2" s="8"/>
      <c r="N2" s="8"/>
    </row>
    <row r="3">
      <c r="A3" s="1"/>
      <c r="B3" s="9" t="s">
        <v>6</v>
      </c>
      <c r="C3" s="10" t="s">
        <v>7</v>
      </c>
      <c r="D3" s="1"/>
      <c r="E3" s="11" t="s">
        <v>8</v>
      </c>
      <c r="F3" s="12" t="s">
        <v>9</v>
      </c>
      <c r="G3" s="13">
        <v>4.0</v>
      </c>
      <c r="I3" s="14" t="s">
        <v>10</v>
      </c>
      <c r="J3" s="15" t="s">
        <v>11</v>
      </c>
      <c r="K3" s="8"/>
      <c r="L3" s="8"/>
      <c r="M3" s="8"/>
      <c r="N3" s="8"/>
    </row>
    <row r="4">
      <c r="A4" s="1"/>
      <c r="B4" s="9" t="s">
        <v>12</v>
      </c>
      <c r="C4" s="10" t="s">
        <v>13</v>
      </c>
      <c r="D4" s="1"/>
      <c r="E4" s="16" t="s">
        <v>14</v>
      </c>
      <c r="F4" s="17" t="s">
        <v>15</v>
      </c>
      <c r="G4" s="18">
        <v>2.0</v>
      </c>
    </row>
    <row r="5">
      <c r="A5" s="1"/>
      <c r="B5" s="9" t="s">
        <v>16</v>
      </c>
      <c r="C5" s="10" t="s">
        <v>17</v>
      </c>
      <c r="D5" s="1"/>
      <c r="E5" s="16" t="s">
        <v>18</v>
      </c>
      <c r="F5" s="17" t="s">
        <v>19</v>
      </c>
      <c r="G5" s="18">
        <v>1.0</v>
      </c>
    </row>
    <row r="6">
      <c r="A6" s="1"/>
      <c r="B6" s="9" t="s">
        <v>20</v>
      </c>
      <c r="C6" s="10" t="s">
        <v>21</v>
      </c>
      <c r="D6" s="1"/>
      <c r="E6" s="16" t="s">
        <v>22</v>
      </c>
      <c r="F6" s="17" t="s">
        <v>23</v>
      </c>
      <c r="G6" s="18">
        <v>1.0</v>
      </c>
    </row>
    <row r="7">
      <c r="A7" s="1"/>
      <c r="B7" s="14" t="s">
        <v>24</v>
      </c>
      <c r="C7" s="15" t="s">
        <v>25</v>
      </c>
      <c r="D7" s="1"/>
      <c r="E7" s="19" t="s">
        <v>26</v>
      </c>
      <c r="F7" s="20" t="s">
        <v>27</v>
      </c>
      <c r="G7" s="21">
        <v>0.5</v>
      </c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17" t="str">
        <f>J3</f>
        <v>Trey</v>
      </c>
      <c r="C11" s="22" t="s">
        <v>3</v>
      </c>
      <c r="D11" s="23">
        <f>SUMIF('Match Log'!C3:C49,"Trey",'Match Log'!D3:D49)</f>
        <v>31</v>
      </c>
      <c r="F11" s="1"/>
      <c r="G11" s="1"/>
      <c r="H11" s="1"/>
      <c r="I11" s="1"/>
    </row>
    <row r="12">
      <c r="A12" s="1"/>
      <c r="C12" s="22" t="s">
        <v>28</v>
      </c>
      <c r="D12" s="24">
        <f>SUMIF('Match Log'!C3:C49,"Trey",'Match Log'!F3:F49)</f>
        <v>99.5</v>
      </c>
      <c r="F12" s="1"/>
      <c r="G12" s="1"/>
      <c r="H12" s="1"/>
      <c r="I12" s="1"/>
    </row>
    <row r="13">
      <c r="A13" s="1"/>
      <c r="B13" s="17" t="str">
        <f>I3</f>
        <v>Trent</v>
      </c>
      <c r="C13" s="22" t="s">
        <v>3</v>
      </c>
      <c r="D13" s="23">
        <f>SUMIF('Match Log'!C3:C49,"Trent",'Match Log'!D3:D49)</f>
        <v>31</v>
      </c>
      <c r="F13" s="1"/>
      <c r="G13" s="1"/>
      <c r="H13" s="1"/>
      <c r="I13" s="1"/>
    </row>
    <row r="14">
      <c r="A14" s="1"/>
      <c r="C14" s="22" t="s">
        <v>28</v>
      </c>
      <c r="D14" s="24">
        <f>SUMIF('Match Log'!C3:C49,"Trent",'Match Log'!F3:F49)</f>
        <v>110</v>
      </c>
      <c r="F14" s="1"/>
      <c r="G14" s="1"/>
      <c r="H14" s="1"/>
      <c r="I14" s="1"/>
    </row>
    <row r="15">
      <c r="A15" s="1"/>
      <c r="B15" s="1"/>
      <c r="C15" s="1"/>
      <c r="D15" s="1"/>
      <c r="E15" s="1"/>
      <c r="F15" s="1"/>
      <c r="G15" s="1"/>
      <c r="H15" s="1"/>
      <c r="I15" s="1"/>
    </row>
    <row r="16">
      <c r="A16" s="1"/>
      <c r="B16" s="1"/>
      <c r="C16" s="1"/>
      <c r="D16" s="1"/>
      <c r="E16" s="1"/>
      <c r="F16" s="1"/>
      <c r="G16" s="1"/>
      <c r="H16" s="1"/>
      <c r="I16" s="1"/>
    </row>
    <row r="17">
      <c r="A17" s="1"/>
      <c r="B17" s="1"/>
      <c r="C17" s="1"/>
      <c r="D17" s="1"/>
      <c r="E17" s="1"/>
      <c r="F17" s="1"/>
      <c r="G17" s="1"/>
      <c r="H17" s="1"/>
      <c r="I17" s="1"/>
    </row>
    <row r="18">
      <c r="A18" s="1"/>
      <c r="B18" s="1"/>
      <c r="C18" s="1"/>
      <c r="D18" s="1"/>
      <c r="E18" s="1"/>
      <c r="F18" s="1"/>
      <c r="G18" s="1"/>
      <c r="H18" s="1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G24" s="1"/>
      <c r="H24" s="1"/>
      <c r="I24" s="1"/>
    </row>
    <row r="25">
      <c r="A25" s="1"/>
      <c r="B25" s="1"/>
      <c r="C25" s="1"/>
      <c r="D25" s="1"/>
      <c r="E25" s="1"/>
      <c r="G25" s="1"/>
      <c r="H25" s="1"/>
      <c r="I25" s="1"/>
    </row>
    <row r="26">
      <c r="A26" s="1"/>
      <c r="B26" s="1"/>
      <c r="C26" s="1"/>
      <c r="D26" s="1"/>
      <c r="E26" s="1"/>
      <c r="F26" s="17"/>
      <c r="G26" s="1"/>
      <c r="H26" s="1"/>
      <c r="I26" s="1"/>
    </row>
    <row r="27">
      <c r="A27" s="1"/>
      <c r="B27" s="1"/>
      <c r="C27" s="1"/>
      <c r="D27" s="1"/>
      <c r="E27" s="1"/>
      <c r="F27" s="17"/>
      <c r="G27" s="1"/>
      <c r="H27" s="1"/>
      <c r="I27" s="1"/>
    </row>
    <row r="28">
      <c r="A28" s="1"/>
      <c r="B28" s="1"/>
      <c r="C28" s="1"/>
      <c r="D28" s="1"/>
      <c r="E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B2:C2"/>
    <mergeCell ref="B11:B12"/>
    <mergeCell ref="D11:E11"/>
    <mergeCell ref="D12:E12"/>
    <mergeCell ref="B13:B14"/>
    <mergeCell ref="D13:E13"/>
    <mergeCell ref="D14:E14"/>
  </mergeCells>
  <conditionalFormatting sqref="I3:J3">
    <cfRule type="cellIs" dxfId="0" priority="1" operator="equal">
      <formula>"Trey"</formula>
    </cfRule>
  </conditionalFormatting>
  <conditionalFormatting sqref="I3:J3">
    <cfRule type="cellIs" dxfId="1" priority="2" operator="equal">
      <formula>"Trent"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8.38"/>
    <col customWidth="1" min="3" max="3" width="6.63"/>
    <col customWidth="1" min="4" max="5" width="3.0"/>
    <col customWidth="1" min="6" max="6" width="6.25"/>
    <col customWidth="1" min="7" max="7" width="4.25"/>
    <col customWidth="1" min="8" max="15" width="3.0"/>
    <col customWidth="1" min="16" max="16" width="3.13"/>
    <col customWidth="1" min="17" max="17" width="4.38"/>
    <col customWidth="1" min="18" max="26" width="3.0"/>
    <col customWidth="1" min="27" max="27" width="2.5"/>
    <col customWidth="1" min="28" max="28" width="6.63"/>
    <col customWidth="1" min="29" max="29" width="5.13"/>
    <col customWidth="1" min="30" max="30" width="4.38"/>
    <col customWidth="1" min="31" max="31" width="3.25"/>
    <col customWidth="1" min="32" max="33" width="4.38"/>
  </cols>
  <sheetData>
    <row r="1">
      <c r="A1" s="25" t="s">
        <v>29</v>
      </c>
      <c r="B1" s="26"/>
      <c r="C1" s="26"/>
      <c r="D1" s="26"/>
      <c r="E1" s="26"/>
      <c r="F1" s="26"/>
      <c r="G1" s="27" t="str">
        <f>Rules!I3&amp;" Stats"</f>
        <v>Trent Stats</v>
      </c>
      <c r="H1" s="26"/>
      <c r="I1" s="26"/>
      <c r="J1" s="26"/>
      <c r="K1" s="26"/>
      <c r="L1" s="26"/>
      <c r="M1" s="26"/>
      <c r="N1" s="26"/>
      <c r="O1" s="26"/>
      <c r="P1" s="26"/>
      <c r="Q1" s="28" t="str">
        <f>Rules!J3&amp;" Stats"</f>
        <v>Trey Stats</v>
      </c>
      <c r="R1" s="26"/>
      <c r="S1" s="26"/>
      <c r="T1" s="26"/>
      <c r="U1" s="26"/>
      <c r="V1" s="26"/>
      <c r="W1" s="26"/>
      <c r="X1" s="26"/>
      <c r="Y1" s="26"/>
      <c r="Z1" s="29"/>
    </row>
    <row r="2">
      <c r="A2" s="30" t="s">
        <v>30</v>
      </c>
      <c r="B2" s="30" t="s">
        <v>31</v>
      </c>
      <c r="C2" s="30" t="s">
        <v>32</v>
      </c>
      <c r="D2" s="31" t="s">
        <v>33</v>
      </c>
      <c r="E2" s="31" t="s">
        <v>34</v>
      </c>
      <c r="F2" s="32" t="s">
        <v>35</v>
      </c>
      <c r="G2" s="33" t="s">
        <v>36</v>
      </c>
      <c r="H2" s="31" t="s">
        <v>37</v>
      </c>
      <c r="I2" s="31" t="s">
        <v>38</v>
      </c>
      <c r="J2" s="31" t="s">
        <v>39</v>
      </c>
      <c r="K2" s="31" t="s">
        <v>40</v>
      </c>
      <c r="L2" s="31" t="s">
        <v>41</v>
      </c>
      <c r="M2" s="31" t="s">
        <v>42</v>
      </c>
      <c r="N2" s="31" t="s">
        <v>43</v>
      </c>
      <c r="O2" s="31" t="s">
        <v>44</v>
      </c>
      <c r="P2" s="34" t="s">
        <v>45</v>
      </c>
      <c r="Q2" s="33" t="s">
        <v>36</v>
      </c>
      <c r="R2" s="31" t="s">
        <v>37</v>
      </c>
      <c r="S2" s="31" t="s">
        <v>38</v>
      </c>
      <c r="T2" s="31" t="s">
        <v>39</v>
      </c>
      <c r="U2" s="31" t="s">
        <v>40</v>
      </c>
      <c r="V2" s="31" t="s">
        <v>41</v>
      </c>
      <c r="W2" s="31" t="s">
        <v>42</v>
      </c>
      <c r="X2" s="31" t="s">
        <v>43</v>
      </c>
      <c r="Y2" s="31" t="s">
        <v>44</v>
      </c>
      <c r="Z2" s="31" t="s">
        <v>45</v>
      </c>
    </row>
    <row r="3">
      <c r="A3" s="35" t="s">
        <v>46</v>
      </c>
      <c r="B3" s="36">
        <v>46023.0</v>
      </c>
      <c r="C3" s="37" t="s">
        <v>11</v>
      </c>
      <c r="D3" s="38">
        <v>3.0</v>
      </c>
      <c r="E3" s="39">
        <v>1.0</v>
      </c>
      <c r="F3" s="40">
        <v>3.0</v>
      </c>
      <c r="G3" s="41">
        <v>42.0</v>
      </c>
      <c r="H3" s="38">
        <v>44.0</v>
      </c>
      <c r="I3" s="38">
        <v>86.0</v>
      </c>
      <c r="J3" s="1">
        <v>13</v>
      </c>
      <c r="K3" s="38">
        <v>0.0</v>
      </c>
      <c r="L3" s="38">
        <v>0.0</v>
      </c>
      <c r="M3" s="38">
        <v>6.0</v>
      </c>
      <c r="N3" s="38">
        <v>11.0</v>
      </c>
      <c r="O3" s="38">
        <v>1.0</v>
      </c>
      <c r="P3" s="42">
        <v>0.0</v>
      </c>
      <c r="Q3" s="37">
        <v>41.0</v>
      </c>
      <c r="R3" s="38">
        <v>43.0</v>
      </c>
      <c r="S3" s="38">
        <v>84.0</v>
      </c>
      <c r="T3" s="1">
        <v>11</v>
      </c>
      <c r="U3" s="38">
        <v>0.0</v>
      </c>
      <c r="V3" s="38">
        <v>1.0</v>
      </c>
      <c r="W3" s="38">
        <v>6.0</v>
      </c>
      <c r="X3" s="38">
        <v>10.0</v>
      </c>
      <c r="Y3" s="38">
        <v>1.0</v>
      </c>
      <c r="Z3" s="38">
        <v>0.0</v>
      </c>
      <c r="AA3" s="1"/>
    </row>
    <row r="4">
      <c r="A4" s="35" t="s">
        <v>47</v>
      </c>
      <c r="B4" s="36">
        <v>46039.0</v>
      </c>
      <c r="C4" s="37" t="s">
        <v>10</v>
      </c>
      <c r="D4" s="38">
        <v>2.0</v>
      </c>
      <c r="E4" s="39">
        <v>2.0</v>
      </c>
      <c r="F4" s="40">
        <v>4.0</v>
      </c>
      <c r="G4" s="41">
        <v>44.0</v>
      </c>
      <c r="H4" s="38">
        <v>48.0</v>
      </c>
      <c r="I4" s="38">
        <v>92.0</v>
      </c>
      <c r="J4" s="1">
        <v>21</v>
      </c>
      <c r="K4" s="38">
        <v>0.0</v>
      </c>
      <c r="L4" s="38">
        <v>0.0</v>
      </c>
      <c r="M4" s="38">
        <v>4.0</v>
      </c>
      <c r="N4" s="38">
        <v>7.0</v>
      </c>
      <c r="O4" s="38">
        <v>7.0</v>
      </c>
      <c r="P4" s="42">
        <v>0.0</v>
      </c>
      <c r="Q4" s="37">
        <v>45.0</v>
      </c>
      <c r="R4" s="38">
        <v>54.0</v>
      </c>
      <c r="S4" s="38">
        <v>99.0</v>
      </c>
      <c r="T4" s="1">
        <v>28</v>
      </c>
      <c r="U4" s="38">
        <v>0.0</v>
      </c>
      <c r="V4" s="38">
        <v>0.0</v>
      </c>
      <c r="W4" s="38">
        <v>3.0</v>
      </c>
      <c r="X4" s="38">
        <v>5.0</v>
      </c>
      <c r="Y4" s="38">
        <v>7.0</v>
      </c>
      <c r="Z4" s="38">
        <v>3.0</v>
      </c>
      <c r="AA4" s="1"/>
    </row>
    <row r="5">
      <c r="A5" s="35" t="s">
        <v>48</v>
      </c>
      <c r="B5" s="36">
        <v>46041.0</v>
      </c>
      <c r="C5" s="37" t="s">
        <v>10</v>
      </c>
      <c r="D5" s="38">
        <v>3.0</v>
      </c>
      <c r="E5" s="39">
        <v>2.0</v>
      </c>
      <c r="F5" s="40">
        <v>6.0</v>
      </c>
      <c r="G5" s="41">
        <v>50.0</v>
      </c>
      <c r="H5" s="38">
        <v>41.0</v>
      </c>
      <c r="I5" s="38">
        <v>91.0</v>
      </c>
      <c r="J5" s="1">
        <v>19</v>
      </c>
      <c r="K5" s="38">
        <v>0.0</v>
      </c>
      <c r="L5" s="38">
        <v>2.0</v>
      </c>
      <c r="M5" s="38">
        <v>3.0</v>
      </c>
      <c r="N5" s="38">
        <v>7.0</v>
      </c>
      <c r="O5" s="38">
        <v>4.0</v>
      </c>
      <c r="P5" s="42">
        <v>2.0</v>
      </c>
      <c r="Q5" s="37">
        <v>48.0</v>
      </c>
      <c r="R5" s="38">
        <v>45.0</v>
      </c>
      <c r="S5" s="38">
        <v>93.0</v>
      </c>
      <c r="T5" s="1">
        <v>21</v>
      </c>
      <c r="U5" s="38">
        <v>0.0</v>
      </c>
      <c r="V5" s="38">
        <v>0.0</v>
      </c>
      <c r="W5" s="38">
        <v>4.0</v>
      </c>
      <c r="X5" s="38">
        <v>8.0</v>
      </c>
      <c r="Y5" s="38">
        <v>5.0</v>
      </c>
      <c r="Z5" s="38">
        <v>1.0</v>
      </c>
      <c r="AA5" s="1"/>
    </row>
    <row r="6">
      <c r="A6" s="35" t="s">
        <v>49</v>
      </c>
      <c r="B6" s="36">
        <v>46053.0</v>
      </c>
      <c r="C6" s="37" t="s">
        <v>10</v>
      </c>
      <c r="D6" s="38">
        <v>6.0</v>
      </c>
      <c r="E6" s="39">
        <v>3.0</v>
      </c>
      <c r="F6" s="40">
        <v>18.0</v>
      </c>
      <c r="G6" s="41">
        <v>42.0</v>
      </c>
      <c r="H6" s="38">
        <v>42.0</v>
      </c>
      <c r="I6" s="38">
        <v>84.0</v>
      </c>
      <c r="J6" s="1">
        <v>12</v>
      </c>
      <c r="K6" s="38">
        <v>0.0</v>
      </c>
      <c r="L6" s="38">
        <v>0.0</v>
      </c>
      <c r="M6" s="38">
        <v>9.0</v>
      </c>
      <c r="N6" s="38">
        <v>6.0</v>
      </c>
      <c r="O6" s="38">
        <v>3.0</v>
      </c>
      <c r="P6" s="42">
        <v>0.0</v>
      </c>
      <c r="Q6" s="37">
        <v>41.0</v>
      </c>
      <c r="R6" s="38">
        <v>50.0</v>
      </c>
      <c r="S6" s="38">
        <v>91.0</v>
      </c>
      <c r="T6" s="1">
        <v>19</v>
      </c>
      <c r="U6" s="38">
        <v>0.0</v>
      </c>
      <c r="V6" s="38">
        <v>0.0</v>
      </c>
      <c r="W6" s="38">
        <v>7.0</v>
      </c>
      <c r="X6" s="38">
        <v>4.0</v>
      </c>
      <c r="Y6" s="38">
        <v>6.0</v>
      </c>
      <c r="Z6" s="38">
        <v>1.0</v>
      </c>
      <c r="AA6" s="1"/>
    </row>
    <row r="7">
      <c r="A7" s="35" t="s">
        <v>50</v>
      </c>
      <c r="B7" s="36">
        <v>46060.0</v>
      </c>
      <c r="C7" s="37" t="s">
        <v>11</v>
      </c>
      <c r="D7" s="38">
        <v>1.0</v>
      </c>
      <c r="E7" s="39">
        <v>2.0</v>
      </c>
      <c r="F7" s="40">
        <v>2.0</v>
      </c>
      <c r="G7" s="43">
        <v>43.0</v>
      </c>
      <c r="H7" s="38">
        <v>45.0</v>
      </c>
      <c r="I7" s="38">
        <v>88.0</v>
      </c>
      <c r="J7" s="1">
        <v>16</v>
      </c>
      <c r="K7" s="38">
        <v>0.0</v>
      </c>
      <c r="L7" s="38">
        <v>1.0</v>
      </c>
      <c r="M7" s="38">
        <v>5.0</v>
      </c>
      <c r="N7" s="38">
        <v>7.0</v>
      </c>
      <c r="O7" s="38">
        <v>5.0</v>
      </c>
      <c r="P7" s="42">
        <v>0.0</v>
      </c>
      <c r="Q7" s="38">
        <v>45.0</v>
      </c>
      <c r="R7" s="38">
        <v>46.0</v>
      </c>
      <c r="S7" s="38">
        <v>91.0</v>
      </c>
      <c r="T7" s="1">
        <v>19</v>
      </c>
      <c r="U7" s="38">
        <v>0.0</v>
      </c>
      <c r="V7" s="38">
        <v>2.0</v>
      </c>
      <c r="W7" s="38">
        <v>5.0</v>
      </c>
      <c r="X7" s="38">
        <v>4.0</v>
      </c>
      <c r="Y7" s="38">
        <v>4.0</v>
      </c>
      <c r="Z7" s="38">
        <v>3.0</v>
      </c>
      <c r="AA7" s="1"/>
    </row>
    <row r="8">
      <c r="A8" s="35" t="s">
        <v>51</v>
      </c>
      <c r="B8" s="36">
        <v>46069.0</v>
      </c>
      <c r="C8" s="37" t="s">
        <v>11</v>
      </c>
      <c r="D8" s="38">
        <v>1.0</v>
      </c>
      <c r="E8" s="39">
        <v>5.0</v>
      </c>
      <c r="F8" s="40">
        <v>5.0</v>
      </c>
      <c r="G8" s="43">
        <v>47.0</v>
      </c>
      <c r="H8" s="38">
        <v>41.0</v>
      </c>
      <c r="I8" s="38">
        <v>88.0</v>
      </c>
      <c r="J8" s="1">
        <v>16</v>
      </c>
      <c r="K8" s="38">
        <v>0.0</v>
      </c>
      <c r="L8" s="38">
        <v>1.0</v>
      </c>
      <c r="M8" s="38">
        <v>5.0</v>
      </c>
      <c r="N8" s="38">
        <v>7.0</v>
      </c>
      <c r="O8" s="38">
        <v>5.0</v>
      </c>
      <c r="P8" s="42">
        <v>0.0</v>
      </c>
      <c r="Q8" s="38">
        <v>43.0</v>
      </c>
      <c r="R8" s="38">
        <v>45.0</v>
      </c>
      <c r="S8" s="38">
        <v>88.0</v>
      </c>
      <c r="T8" s="1">
        <v>16</v>
      </c>
      <c r="U8" s="38">
        <v>0.0</v>
      </c>
      <c r="V8" s="38">
        <v>0.0</v>
      </c>
      <c r="W8" s="38">
        <v>7.0</v>
      </c>
      <c r="X8" s="38">
        <v>6.0</v>
      </c>
      <c r="Y8" s="38">
        <v>5.0</v>
      </c>
      <c r="Z8" s="38">
        <v>0.0</v>
      </c>
      <c r="AA8" s="1"/>
    </row>
    <row r="9">
      <c r="A9" s="35" t="s">
        <v>52</v>
      </c>
      <c r="B9" s="36">
        <v>46074.0</v>
      </c>
      <c r="C9" s="37" t="s">
        <v>11</v>
      </c>
      <c r="D9" s="38">
        <v>2.0</v>
      </c>
      <c r="E9" s="39">
        <v>4.0</v>
      </c>
      <c r="F9" s="40">
        <v>8.0</v>
      </c>
      <c r="G9" s="43">
        <v>44.0</v>
      </c>
      <c r="H9" s="38">
        <v>44.0</v>
      </c>
      <c r="I9" s="38">
        <v>88.0</v>
      </c>
      <c r="J9" s="1">
        <v>16</v>
      </c>
      <c r="K9" s="38">
        <v>0.0</v>
      </c>
      <c r="L9" s="38">
        <v>0.0</v>
      </c>
      <c r="M9" s="38">
        <v>5.0</v>
      </c>
      <c r="N9" s="38">
        <v>10.0</v>
      </c>
      <c r="O9" s="38">
        <v>3.0</v>
      </c>
      <c r="P9" s="42">
        <v>0.0</v>
      </c>
      <c r="Q9" s="38">
        <v>41.0</v>
      </c>
      <c r="R9" s="38">
        <v>46.0</v>
      </c>
      <c r="S9" s="38">
        <v>87.0</v>
      </c>
      <c r="T9" s="1">
        <v>15</v>
      </c>
      <c r="U9" s="38">
        <v>0.0</v>
      </c>
      <c r="V9" s="38">
        <v>0.0</v>
      </c>
      <c r="W9" s="38">
        <v>8.0</v>
      </c>
      <c r="X9" s="38">
        <v>7.0</v>
      </c>
      <c r="Y9" s="38">
        <v>1.0</v>
      </c>
      <c r="Z9" s="38">
        <v>2.0</v>
      </c>
      <c r="AA9" s="1"/>
    </row>
    <row r="10">
      <c r="A10" s="35" t="s">
        <v>48</v>
      </c>
      <c r="B10" s="36">
        <v>46081.0</v>
      </c>
      <c r="C10" s="37" t="s">
        <v>11</v>
      </c>
      <c r="D10" s="38">
        <v>3.5</v>
      </c>
      <c r="E10" s="39">
        <v>2.0</v>
      </c>
      <c r="F10" s="40">
        <v>7.0</v>
      </c>
      <c r="G10" s="43">
        <v>44.0</v>
      </c>
      <c r="H10" s="38">
        <v>45.0</v>
      </c>
      <c r="I10" s="38">
        <v>89.0</v>
      </c>
      <c r="J10" s="1">
        <v>17</v>
      </c>
      <c r="K10" s="38">
        <v>0.0</v>
      </c>
      <c r="L10" s="38">
        <v>1.0</v>
      </c>
      <c r="M10" s="38">
        <v>3.0</v>
      </c>
      <c r="N10" s="38">
        <v>10.0</v>
      </c>
      <c r="O10" s="38">
        <v>4.0</v>
      </c>
      <c r="P10" s="42">
        <v>0.0</v>
      </c>
      <c r="Q10" s="38">
        <v>41.0</v>
      </c>
      <c r="R10" s="38">
        <v>42.0</v>
      </c>
      <c r="S10" s="38">
        <v>83.0</v>
      </c>
      <c r="T10" s="1">
        <v>11</v>
      </c>
      <c r="U10" s="38">
        <v>0.0</v>
      </c>
      <c r="V10" s="38">
        <v>2.0</v>
      </c>
      <c r="W10" s="38">
        <v>7.0</v>
      </c>
      <c r="X10" s="38">
        <v>6.0</v>
      </c>
      <c r="Y10" s="38">
        <v>2.0</v>
      </c>
      <c r="Z10" s="38">
        <v>1.0</v>
      </c>
      <c r="AA10" s="1"/>
    </row>
    <row r="11">
      <c r="A11" s="35" t="s">
        <v>52</v>
      </c>
      <c r="B11" s="36">
        <v>46085.0</v>
      </c>
      <c r="C11" s="37" t="s">
        <v>11</v>
      </c>
      <c r="D11" s="38">
        <v>4.0</v>
      </c>
      <c r="E11" s="39">
        <v>2.0</v>
      </c>
      <c r="F11" s="40">
        <v>8.0</v>
      </c>
      <c r="G11" s="43">
        <v>43.0</v>
      </c>
      <c r="H11" s="38">
        <v>41.0</v>
      </c>
      <c r="I11" s="38">
        <v>84.0</v>
      </c>
      <c r="J11" s="1">
        <v>12</v>
      </c>
      <c r="K11" s="38">
        <v>0.0</v>
      </c>
      <c r="L11" s="38">
        <v>0.0</v>
      </c>
      <c r="M11" s="38">
        <v>9.0</v>
      </c>
      <c r="N11" s="38">
        <v>6.0</v>
      </c>
      <c r="O11" s="38">
        <v>3.0</v>
      </c>
      <c r="P11" s="42">
        <v>0.0</v>
      </c>
      <c r="Q11" s="38">
        <v>38.0</v>
      </c>
      <c r="R11" s="38">
        <v>40.0</v>
      </c>
      <c r="S11" s="38">
        <v>78.0</v>
      </c>
      <c r="T11" s="1">
        <v>6</v>
      </c>
      <c r="U11" s="38">
        <v>0.0</v>
      </c>
      <c r="V11" s="38">
        <v>0.0</v>
      </c>
      <c r="W11" s="38">
        <v>13.0</v>
      </c>
      <c r="X11" s="38">
        <v>4.0</v>
      </c>
      <c r="Y11" s="38">
        <v>1.0</v>
      </c>
      <c r="Z11" s="38">
        <v>0.0</v>
      </c>
      <c r="AA11" s="1"/>
    </row>
    <row r="12">
      <c r="A12" s="35" t="s">
        <v>53</v>
      </c>
      <c r="B12" s="36">
        <v>46103.0</v>
      </c>
      <c r="C12" s="37" t="s">
        <v>10</v>
      </c>
      <c r="D12" s="38">
        <v>2.0</v>
      </c>
      <c r="E12" s="39">
        <v>3.0</v>
      </c>
      <c r="F12" s="40">
        <v>6.0</v>
      </c>
      <c r="G12" s="43">
        <v>40.0</v>
      </c>
      <c r="H12" s="38">
        <v>41.0</v>
      </c>
      <c r="I12" s="38">
        <v>81.0</v>
      </c>
      <c r="J12" s="1">
        <v>10</v>
      </c>
      <c r="K12" s="38">
        <v>0.0</v>
      </c>
      <c r="L12" s="38">
        <v>3.0</v>
      </c>
      <c r="M12" s="38">
        <v>5.0</v>
      </c>
      <c r="N12" s="38">
        <v>7.0</v>
      </c>
      <c r="O12" s="38">
        <v>3.0</v>
      </c>
      <c r="P12" s="42">
        <v>0.0</v>
      </c>
      <c r="Q12" s="38">
        <v>40.0</v>
      </c>
      <c r="R12" s="38">
        <v>41.0</v>
      </c>
      <c r="S12" s="38">
        <v>81.0</v>
      </c>
      <c r="T12" s="1">
        <v>10</v>
      </c>
      <c r="U12" s="38">
        <v>0.0</v>
      </c>
      <c r="V12" s="38">
        <v>1.0</v>
      </c>
      <c r="W12" s="38">
        <v>7.0</v>
      </c>
      <c r="X12" s="38">
        <v>9.0</v>
      </c>
      <c r="Y12" s="38">
        <v>1.0</v>
      </c>
      <c r="Z12" s="38">
        <v>0.0</v>
      </c>
      <c r="AA12" s="1"/>
    </row>
    <row r="13">
      <c r="A13" s="35" t="s">
        <v>49</v>
      </c>
      <c r="B13" s="36">
        <v>46109.0</v>
      </c>
      <c r="C13" s="37" t="s">
        <v>10</v>
      </c>
      <c r="D13" s="38">
        <v>6.0</v>
      </c>
      <c r="E13" s="39">
        <v>4.0</v>
      </c>
      <c r="F13" s="40">
        <v>24.0</v>
      </c>
      <c r="G13" s="43">
        <v>41.0</v>
      </c>
      <c r="H13" s="38">
        <v>50.0</v>
      </c>
      <c r="I13" s="38">
        <v>91.0</v>
      </c>
      <c r="J13" s="1">
        <v>19</v>
      </c>
      <c r="K13" s="38">
        <v>0.0</v>
      </c>
      <c r="L13" s="38">
        <v>1.0</v>
      </c>
      <c r="M13" s="38">
        <v>5.0</v>
      </c>
      <c r="N13" s="38">
        <v>6.0</v>
      </c>
      <c r="O13" s="38">
        <v>4.0</v>
      </c>
      <c r="P13" s="42">
        <v>2.0</v>
      </c>
      <c r="Q13" s="38">
        <v>47.0</v>
      </c>
      <c r="R13" s="38">
        <v>51.0</v>
      </c>
      <c r="S13" s="38">
        <v>98.0</v>
      </c>
      <c r="T13" s="1">
        <v>26</v>
      </c>
      <c r="U13" s="38">
        <v>0.0</v>
      </c>
      <c r="V13" s="38">
        <v>0.0</v>
      </c>
      <c r="W13" s="38">
        <v>1.0</v>
      </c>
      <c r="X13" s="38">
        <v>10.0</v>
      </c>
      <c r="Y13" s="38">
        <v>5.0</v>
      </c>
      <c r="Z13" s="38">
        <v>2.0</v>
      </c>
      <c r="AA13" s="1"/>
    </row>
    <row r="14">
      <c r="A14" s="35" t="s">
        <v>54</v>
      </c>
      <c r="B14" s="36">
        <v>46116.0</v>
      </c>
      <c r="C14" s="37" t="s">
        <v>11</v>
      </c>
      <c r="D14" s="38">
        <v>3.0</v>
      </c>
      <c r="E14" s="39">
        <v>5.0</v>
      </c>
      <c r="F14" s="40">
        <v>15.0</v>
      </c>
      <c r="G14" s="43">
        <v>43.0</v>
      </c>
      <c r="H14" s="38">
        <v>43.0</v>
      </c>
      <c r="I14" s="38">
        <v>86.0</v>
      </c>
      <c r="J14" s="1">
        <v>14</v>
      </c>
      <c r="K14" s="38">
        <v>0.0</v>
      </c>
      <c r="L14" s="38">
        <v>0.0</v>
      </c>
      <c r="M14" s="38">
        <v>6.0</v>
      </c>
      <c r="N14" s="38">
        <v>10.0</v>
      </c>
      <c r="O14" s="38">
        <v>2.0</v>
      </c>
      <c r="P14" s="42">
        <v>0.0</v>
      </c>
      <c r="Q14" s="38">
        <v>39.0</v>
      </c>
      <c r="R14" s="38">
        <v>42.0</v>
      </c>
      <c r="S14" s="38">
        <v>81.0</v>
      </c>
      <c r="T14" s="1">
        <v>9</v>
      </c>
      <c r="U14" s="38">
        <v>0.0</v>
      </c>
      <c r="V14" s="38">
        <v>1.0</v>
      </c>
      <c r="W14" s="38">
        <v>9.0</v>
      </c>
      <c r="X14" s="38">
        <v>6.0</v>
      </c>
      <c r="Y14" s="38">
        <v>2.0</v>
      </c>
      <c r="Z14" s="38">
        <v>0.0</v>
      </c>
      <c r="AA14" s="1"/>
    </row>
    <row r="15">
      <c r="A15" s="35" t="s">
        <v>55</v>
      </c>
      <c r="B15" s="36">
        <v>46124.0</v>
      </c>
      <c r="C15" s="37" t="s">
        <v>11</v>
      </c>
      <c r="D15" s="38">
        <v>2.5</v>
      </c>
      <c r="E15" s="39">
        <v>5.0</v>
      </c>
      <c r="F15" s="40">
        <v>12.5</v>
      </c>
      <c r="G15" s="43">
        <v>44.0</v>
      </c>
      <c r="H15" s="38">
        <v>51.0</v>
      </c>
      <c r="I15" s="38">
        <v>95.0</v>
      </c>
      <c r="J15" s="1">
        <v>23</v>
      </c>
      <c r="K15" s="38">
        <v>0.0</v>
      </c>
      <c r="L15" s="38">
        <v>1.0</v>
      </c>
      <c r="M15" s="38">
        <v>2.0</v>
      </c>
      <c r="N15" s="38">
        <v>7.0</v>
      </c>
      <c r="O15" s="38">
        <v>7.0</v>
      </c>
      <c r="P15" s="42">
        <v>1.0</v>
      </c>
      <c r="Q15" s="38">
        <v>42.0</v>
      </c>
      <c r="R15" s="38">
        <v>47.0</v>
      </c>
      <c r="S15" s="38">
        <v>89.0</v>
      </c>
      <c r="T15" s="1">
        <v>17</v>
      </c>
      <c r="U15" s="38">
        <v>0.0</v>
      </c>
      <c r="V15" s="38">
        <v>0.0</v>
      </c>
      <c r="W15" s="38">
        <v>6.0</v>
      </c>
      <c r="X15" s="38">
        <v>8.0</v>
      </c>
      <c r="Y15" s="38">
        <v>3.0</v>
      </c>
      <c r="Z15" s="38">
        <v>1.0</v>
      </c>
      <c r="AA15" s="1"/>
      <c r="AD15" s="44"/>
      <c r="AF15" s="44"/>
      <c r="AG15" s="44"/>
    </row>
    <row r="16">
      <c r="A16" s="35" t="s">
        <v>46</v>
      </c>
      <c r="B16" s="36">
        <v>228734.0</v>
      </c>
      <c r="C16" s="37" t="s">
        <v>11</v>
      </c>
      <c r="D16" s="38">
        <v>5.0</v>
      </c>
      <c r="E16" s="39">
        <v>4.0</v>
      </c>
      <c r="F16" s="40">
        <v>20.0</v>
      </c>
      <c r="G16" s="43">
        <v>39.0</v>
      </c>
      <c r="H16" s="38">
        <v>45.0</v>
      </c>
      <c r="I16" s="38">
        <v>84.0</v>
      </c>
      <c r="J16" s="1">
        <v>11</v>
      </c>
      <c r="K16" s="38">
        <v>0.0</v>
      </c>
      <c r="L16" s="38">
        <v>1.0</v>
      </c>
      <c r="M16" s="38">
        <v>9.0</v>
      </c>
      <c r="N16" s="38">
        <v>4.0</v>
      </c>
      <c r="O16" s="38">
        <v>4.0</v>
      </c>
      <c r="P16" s="42">
        <v>0.0</v>
      </c>
      <c r="Q16" s="38">
        <v>40.0</v>
      </c>
      <c r="R16" s="38">
        <v>39.0</v>
      </c>
      <c r="S16" s="38">
        <v>79.0</v>
      </c>
      <c r="T16" s="1">
        <v>6</v>
      </c>
      <c r="U16" s="38">
        <v>0.0</v>
      </c>
      <c r="V16" s="38">
        <v>4.0</v>
      </c>
      <c r="W16" s="38">
        <v>7.0</v>
      </c>
      <c r="X16" s="38">
        <v>4.0</v>
      </c>
      <c r="Y16" s="38">
        <v>3.0</v>
      </c>
      <c r="Z16" s="38">
        <v>0.0</v>
      </c>
      <c r="AA16" s="1"/>
    </row>
    <row r="17">
      <c r="A17" s="35" t="s">
        <v>56</v>
      </c>
      <c r="B17" s="36">
        <v>46138.0</v>
      </c>
      <c r="C17" s="37" t="s">
        <v>11</v>
      </c>
      <c r="D17" s="38">
        <v>0.5</v>
      </c>
      <c r="E17" s="39">
        <v>3.0</v>
      </c>
      <c r="F17" s="40">
        <v>1.5</v>
      </c>
      <c r="G17" s="43">
        <v>42.0</v>
      </c>
      <c r="H17" s="38">
        <v>48.0</v>
      </c>
      <c r="I17" s="38">
        <v>90.0</v>
      </c>
      <c r="J17" s="1">
        <v>18</v>
      </c>
      <c r="K17" s="38">
        <v>0.0</v>
      </c>
      <c r="L17" s="38">
        <v>1.0</v>
      </c>
      <c r="M17" s="38">
        <v>5.0</v>
      </c>
      <c r="N17" s="38">
        <v>6.0</v>
      </c>
      <c r="O17" s="38">
        <v>5.0</v>
      </c>
      <c r="P17" s="42">
        <v>1.0</v>
      </c>
      <c r="Q17" s="38">
        <v>42.0</v>
      </c>
      <c r="R17" s="38">
        <v>46.0</v>
      </c>
      <c r="S17" s="38">
        <v>88.0</v>
      </c>
      <c r="T17" s="1">
        <v>16</v>
      </c>
      <c r="U17" s="38">
        <v>0.0</v>
      </c>
      <c r="V17" s="38">
        <v>1.0</v>
      </c>
      <c r="W17" s="38">
        <v>5.0</v>
      </c>
      <c r="X17" s="38">
        <v>9.0</v>
      </c>
      <c r="Y17" s="38">
        <v>1.0</v>
      </c>
      <c r="Z17" s="38">
        <v>2.0</v>
      </c>
      <c r="AA17" s="1"/>
    </row>
    <row r="18">
      <c r="A18" s="35" t="s">
        <v>53</v>
      </c>
      <c r="B18" s="36">
        <v>46145.0</v>
      </c>
      <c r="C18" s="37" t="s">
        <v>11</v>
      </c>
      <c r="D18" s="38">
        <v>0.5</v>
      </c>
      <c r="E18" s="39">
        <v>5.0</v>
      </c>
      <c r="F18" s="40">
        <v>2.5</v>
      </c>
      <c r="G18" s="43">
        <v>38.0</v>
      </c>
      <c r="H18" s="38">
        <v>45.0</v>
      </c>
      <c r="I18" s="38">
        <v>83.0</v>
      </c>
      <c r="J18" s="1">
        <v>12</v>
      </c>
      <c r="K18" s="38">
        <v>0.0</v>
      </c>
      <c r="L18" s="38">
        <v>2.0</v>
      </c>
      <c r="M18" s="38">
        <v>6.0</v>
      </c>
      <c r="N18" s="38">
        <v>6.0</v>
      </c>
      <c r="O18" s="38">
        <v>4.0</v>
      </c>
      <c r="P18" s="42">
        <v>0.0</v>
      </c>
      <c r="Q18" s="38">
        <v>38.0</v>
      </c>
      <c r="R18" s="38">
        <v>44.0</v>
      </c>
      <c r="S18" s="38">
        <v>82.0</v>
      </c>
      <c r="T18" s="1">
        <v>11</v>
      </c>
      <c r="U18" s="38">
        <v>0.0</v>
      </c>
      <c r="V18" s="38">
        <v>1.0</v>
      </c>
      <c r="W18" s="38">
        <v>9.0</v>
      </c>
      <c r="X18" s="38">
        <v>5.0</v>
      </c>
      <c r="Y18" s="38">
        <v>2.0</v>
      </c>
      <c r="Z18" s="38">
        <v>1.0</v>
      </c>
      <c r="AA18" s="1"/>
    </row>
    <row r="19">
      <c r="A19" s="35" t="s">
        <v>57</v>
      </c>
      <c r="B19" s="36">
        <v>46152.0</v>
      </c>
      <c r="C19" s="37" t="s">
        <v>10</v>
      </c>
      <c r="D19" s="38">
        <v>1.0</v>
      </c>
      <c r="E19" s="39">
        <v>3.0</v>
      </c>
      <c r="F19" s="40">
        <v>3.0</v>
      </c>
      <c r="G19" s="43">
        <v>43.0</v>
      </c>
      <c r="H19" s="38">
        <v>44.0</v>
      </c>
      <c r="I19" s="38">
        <v>87.0</v>
      </c>
      <c r="J19" s="1">
        <v>15</v>
      </c>
      <c r="K19" s="38">
        <v>0.0</v>
      </c>
      <c r="L19" s="38">
        <v>0.0</v>
      </c>
      <c r="M19" s="38">
        <v>8.0</v>
      </c>
      <c r="N19" s="38">
        <v>5.0</v>
      </c>
      <c r="O19" s="38">
        <v>5.0</v>
      </c>
      <c r="P19" s="42">
        <v>0.0</v>
      </c>
      <c r="Q19" s="38">
        <v>43.0</v>
      </c>
      <c r="R19" s="38">
        <v>44.0</v>
      </c>
      <c r="S19" s="38">
        <v>87.0</v>
      </c>
      <c r="T19" s="1">
        <v>15</v>
      </c>
      <c r="U19" s="38">
        <v>0.0</v>
      </c>
      <c r="V19" s="38">
        <v>0.0</v>
      </c>
      <c r="W19" s="38">
        <v>6.0</v>
      </c>
      <c r="X19" s="38">
        <v>9.0</v>
      </c>
      <c r="Y19" s="38">
        <v>3.0</v>
      </c>
      <c r="Z19" s="38">
        <v>0.0</v>
      </c>
      <c r="AA19" s="1"/>
    </row>
    <row r="20">
      <c r="A20" s="35" t="s">
        <v>58</v>
      </c>
      <c r="B20" s="36">
        <v>46165.0</v>
      </c>
      <c r="C20" s="37" t="s">
        <v>10</v>
      </c>
      <c r="D20" s="38">
        <v>8.0</v>
      </c>
      <c r="E20" s="39">
        <v>5.0</v>
      </c>
      <c r="F20" s="40">
        <v>40.0</v>
      </c>
      <c r="G20" s="43">
        <v>43.0</v>
      </c>
      <c r="H20" s="38">
        <v>42.0</v>
      </c>
      <c r="I20" s="38">
        <v>85.0</v>
      </c>
      <c r="J20" s="1">
        <v>13</v>
      </c>
      <c r="K20" s="38">
        <v>0.0</v>
      </c>
      <c r="L20" s="38">
        <v>1.0</v>
      </c>
      <c r="M20" s="38">
        <v>5.0</v>
      </c>
      <c r="N20" s="38">
        <v>10.0</v>
      </c>
      <c r="O20" s="38">
        <v>2.0</v>
      </c>
      <c r="P20" s="42">
        <v>0.0</v>
      </c>
      <c r="Q20" s="38">
        <v>51.0</v>
      </c>
      <c r="R20" s="38">
        <v>47.0</v>
      </c>
      <c r="S20" s="38">
        <v>98.0</v>
      </c>
      <c r="T20" s="1">
        <v>26</v>
      </c>
      <c r="U20" s="38">
        <v>0.0</v>
      </c>
      <c r="V20" s="38">
        <v>0.0</v>
      </c>
      <c r="W20" s="38">
        <v>2.0</v>
      </c>
      <c r="X20" s="38">
        <v>7.0</v>
      </c>
      <c r="Y20" s="38">
        <v>8.0</v>
      </c>
      <c r="Z20" s="38">
        <v>1.0</v>
      </c>
      <c r="AA20" s="1"/>
    </row>
    <row r="21">
      <c r="A21" s="35" t="s">
        <v>59</v>
      </c>
      <c r="B21" s="36">
        <v>46173.0</v>
      </c>
      <c r="C21" s="37" t="s">
        <v>11</v>
      </c>
      <c r="D21" s="38">
        <v>5.0</v>
      </c>
      <c r="E21" s="39">
        <v>3.0</v>
      </c>
      <c r="F21" s="40">
        <v>15.0</v>
      </c>
      <c r="G21" s="43">
        <v>40.0</v>
      </c>
      <c r="H21" s="38">
        <v>44.0</v>
      </c>
      <c r="I21" s="38">
        <v>84.0</v>
      </c>
      <c r="J21" s="1">
        <v>12</v>
      </c>
      <c r="K21" s="38">
        <v>0.0</v>
      </c>
      <c r="L21" s="38">
        <v>1.0</v>
      </c>
      <c r="M21" s="38">
        <v>7.0</v>
      </c>
      <c r="N21" s="38">
        <v>8.0</v>
      </c>
      <c r="O21" s="38">
        <v>1.0</v>
      </c>
      <c r="P21" s="42">
        <v>1.0</v>
      </c>
      <c r="Q21" s="38">
        <v>38.0</v>
      </c>
      <c r="R21" s="38">
        <v>39.0</v>
      </c>
      <c r="S21" s="38">
        <v>77.0</v>
      </c>
      <c r="T21" s="1">
        <v>5</v>
      </c>
      <c r="U21" s="38">
        <v>0.0</v>
      </c>
      <c r="V21" s="38">
        <v>1.0</v>
      </c>
      <c r="W21" s="38">
        <v>12.0</v>
      </c>
      <c r="X21" s="38">
        <v>4.0</v>
      </c>
      <c r="Y21" s="38">
        <v>1.0</v>
      </c>
      <c r="Z21" s="38">
        <v>0.0</v>
      </c>
      <c r="AA21" s="1"/>
    </row>
    <row r="22">
      <c r="A22" s="35" t="s">
        <v>57</v>
      </c>
      <c r="B22" s="36">
        <v>46186.0</v>
      </c>
      <c r="C22" s="37" t="s">
        <v>10</v>
      </c>
      <c r="D22" s="38">
        <v>3.0</v>
      </c>
      <c r="E22" s="39">
        <v>3.0</v>
      </c>
      <c r="F22" s="40">
        <v>9.0</v>
      </c>
      <c r="G22" s="43">
        <v>38.0</v>
      </c>
      <c r="H22" s="38">
        <v>43.0</v>
      </c>
      <c r="I22" s="38">
        <v>81.0</v>
      </c>
      <c r="J22" s="1">
        <v>9</v>
      </c>
      <c r="K22" s="38">
        <v>0.0</v>
      </c>
      <c r="L22" s="38">
        <v>0.0</v>
      </c>
      <c r="M22" s="38">
        <v>10.0</v>
      </c>
      <c r="N22" s="38">
        <v>7.0</v>
      </c>
      <c r="O22" s="38">
        <v>1.0</v>
      </c>
      <c r="P22" s="42">
        <v>0.0</v>
      </c>
      <c r="Q22" s="38">
        <v>39.0</v>
      </c>
      <c r="R22" s="38">
        <v>48.0</v>
      </c>
      <c r="S22" s="38">
        <v>87.0</v>
      </c>
      <c r="T22" s="1">
        <v>15</v>
      </c>
      <c r="U22" s="38">
        <v>0.0</v>
      </c>
      <c r="V22" s="38">
        <v>1.0</v>
      </c>
      <c r="W22" s="38">
        <v>6.0</v>
      </c>
      <c r="X22" s="38">
        <v>7.0</v>
      </c>
      <c r="Y22" s="38">
        <v>3.0</v>
      </c>
      <c r="Z22" s="38">
        <v>1.0</v>
      </c>
      <c r="AA22" s="1"/>
    </row>
    <row r="23">
      <c r="A23" s="45"/>
      <c r="B23" s="1"/>
      <c r="C23" s="1"/>
      <c r="D23" s="1"/>
      <c r="E23" s="46"/>
      <c r="F23" s="47"/>
      <c r="G23" s="48"/>
      <c r="H23" s="1"/>
      <c r="I23" s="1"/>
      <c r="J23" s="1"/>
      <c r="K23" s="1"/>
      <c r="L23" s="1"/>
      <c r="M23" s="1"/>
      <c r="N23" s="1"/>
      <c r="O23" s="1"/>
      <c r="P23" s="49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45"/>
      <c r="B24" s="1"/>
      <c r="C24" s="1"/>
      <c r="D24" s="1"/>
      <c r="E24" s="46"/>
      <c r="F24" s="47"/>
      <c r="G24" s="48"/>
      <c r="H24" s="1"/>
      <c r="I24" s="1"/>
      <c r="J24" s="1"/>
      <c r="K24" s="1"/>
      <c r="L24" s="1"/>
      <c r="M24" s="1"/>
      <c r="N24" s="1"/>
      <c r="O24" s="1"/>
      <c r="P24" s="49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45"/>
      <c r="B25" s="1"/>
      <c r="C25" s="1"/>
      <c r="D25" s="1"/>
      <c r="E25" s="46"/>
      <c r="F25" s="47"/>
      <c r="G25" s="48"/>
      <c r="H25" s="1"/>
      <c r="I25" s="1"/>
      <c r="J25" s="1"/>
      <c r="K25" s="1"/>
      <c r="L25" s="1"/>
      <c r="M25" s="1"/>
      <c r="N25" s="1"/>
      <c r="O25" s="1"/>
      <c r="P25" s="49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45"/>
      <c r="B26" s="1"/>
      <c r="C26" s="1"/>
      <c r="D26" s="1"/>
      <c r="E26" s="46"/>
      <c r="F26" s="47"/>
      <c r="G26" s="48"/>
      <c r="H26" s="1"/>
      <c r="I26" s="1"/>
      <c r="J26" s="1"/>
      <c r="K26" s="1"/>
      <c r="L26" s="1"/>
      <c r="M26" s="1"/>
      <c r="N26" s="1"/>
      <c r="O26" s="1"/>
      <c r="P26" s="49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45"/>
      <c r="B27" s="1"/>
      <c r="C27" s="1"/>
      <c r="D27" s="1"/>
      <c r="E27" s="46"/>
      <c r="F27" s="47"/>
      <c r="G27" s="48"/>
      <c r="H27" s="1"/>
      <c r="I27" s="1"/>
      <c r="J27" s="1"/>
      <c r="K27" s="1"/>
      <c r="L27" s="1"/>
      <c r="M27" s="1"/>
      <c r="N27" s="1"/>
      <c r="O27" s="1"/>
      <c r="P27" s="49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45"/>
      <c r="B28" s="1"/>
      <c r="C28" s="1"/>
      <c r="D28" s="1"/>
      <c r="E28" s="46"/>
      <c r="F28" s="47"/>
      <c r="G28" s="48"/>
      <c r="H28" s="1"/>
      <c r="I28" s="1"/>
      <c r="J28" s="1"/>
      <c r="K28" s="1"/>
      <c r="L28" s="1"/>
      <c r="M28" s="1"/>
      <c r="N28" s="1"/>
      <c r="O28" s="1"/>
      <c r="P28" s="49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45"/>
      <c r="B29" s="1"/>
      <c r="C29" s="1"/>
      <c r="D29" s="1"/>
      <c r="E29" s="46"/>
      <c r="F29" s="47"/>
      <c r="G29" s="48"/>
      <c r="H29" s="1"/>
      <c r="I29" s="1"/>
      <c r="J29" s="1"/>
      <c r="K29" s="1"/>
      <c r="L29" s="1"/>
      <c r="M29" s="1"/>
      <c r="N29" s="1"/>
      <c r="O29" s="1"/>
      <c r="P29" s="49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45"/>
      <c r="B30" s="1"/>
      <c r="C30" s="1"/>
      <c r="D30" s="1"/>
      <c r="E30" s="46"/>
      <c r="F30" s="47"/>
      <c r="G30" s="48"/>
      <c r="H30" s="1"/>
      <c r="I30" s="1"/>
      <c r="J30" s="1"/>
      <c r="K30" s="1"/>
      <c r="L30" s="1"/>
      <c r="M30" s="1"/>
      <c r="N30" s="1"/>
      <c r="O30" s="1"/>
      <c r="P30" s="49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45"/>
      <c r="B31" s="1"/>
      <c r="C31" s="1"/>
      <c r="D31" s="1"/>
      <c r="E31" s="46"/>
      <c r="F31" s="47"/>
      <c r="G31" s="48"/>
      <c r="H31" s="1"/>
      <c r="I31" s="1"/>
      <c r="J31" s="1"/>
      <c r="K31" s="1"/>
      <c r="L31" s="1"/>
      <c r="M31" s="1"/>
      <c r="N31" s="1"/>
      <c r="O31" s="1"/>
      <c r="P31" s="49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45"/>
      <c r="B32" s="1"/>
      <c r="C32" s="1"/>
      <c r="D32" s="1"/>
      <c r="E32" s="46"/>
      <c r="F32" s="47"/>
      <c r="G32" s="48"/>
      <c r="H32" s="1"/>
      <c r="I32" s="1"/>
      <c r="J32" s="1"/>
      <c r="K32" s="1"/>
      <c r="L32" s="1"/>
      <c r="M32" s="1"/>
      <c r="N32" s="1"/>
      <c r="O32" s="1"/>
      <c r="P32" s="49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45"/>
      <c r="B33" s="1"/>
      <c r="C33" s="1"/>
      <c r="D33" s="1"/>
      <c r="E33" s="46"/>
      <c r="F33" s="50"/>
      <c r="G33" s="48"/>
      <c r="H33" s="1"/>
      <c r="I33" s="1"/>
      <c r="J33" s="1"/>
      <c r="K33" s="1"/>
      <c r="L33" s="1"/>
      <c r="M33" s="1"/>
      <c r="N33" s="1"/>
      <c r="O33" s="1"/>
      <c r="P33" s="49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45"/>
      <c r="B34" s="1"/>
      <c r="C34" s="1"/>
      <c r="D34" s="1"/>
      <c r="E34" s="46"/>
      <c r="F34" s="50"/>
      <c r="G34" s="48"/>
      <c r="H34" s="1"/>
      <c r="I34" s="1"/>
      <c r="J34" s="1"/>
      <c r="K34" s="1"/>
      <c r="L34" s="1"/>
      <c r="M34" s="1"/>
      <c r="N34" s="1"/>
      <c r="O34" s="1"/>
      <c r="P34" s="49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45"/>
      <c r="B35" s="1"/>
      <c r="C35" s="1"/>
      <c r="D35" s="1"/>
      <c r="E35" s="51"/>
      <c r="F35" s="50"/>
      <c r="G35" s="48"/>
      <c r="H35" s="1"/>
      <c r="I35" s="1"/>
      <c r="J35" s="1"/>
      <c r="K35" s="1"/>
      <c r="L35" s="1"/>
      <c r="M35" s="1"/>
      <c r="N35" s="1"/>
      <c r="O35" s="1"/>
      <c r="P35" s="49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45"/>
      <c r="B36" s="1"/>
      <c r="C36" s="1"/>
      <c r="D36" s="1"/>
      <c r="E36" s="51"/>
      <c r="F36" s="50"/>
      <c r="G36" s="48"/>
      <c r="H36" s="1"/>
      <c r="I36" s="1"/>
      <c r="J36" s="1"/>
      <c r="K36" s="1"/>
      <c r="L36" s="1"/>
      <c r="M36" s="1"/>
      <c r="N36" s="1"/>
      <c r="O36" s="1"/>
      <c r="P36" s="49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45"/>
      <c r="B37" s="1"/>
      <c r="C37" s="1"/>
      <c r="D37" s="1"/>
      <c r="E37" s="51"/>
      <c r="F37" s="50"/>
      <c r="G37" s="48"/>
      <c r="H37" s="1"/>
      <c r="I37" s="1"/>
      <c r="J37" s="1"/>
      <c r="K37" s="1"/>
      <c r="L37" s="1"/>
      <c r="M37" s="1"/>
      <c r="N37" s="1"/>
      <c r="O37" s="1"/>
      <c r="P37" s="49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45"/>
      <c r="B38" s="1"/>
      <c r="C38" s="1"/>
      <c r="D38" s="1"/>
      <c r="E38" s="51"/>
      <c r="F38" s="50"/>
      <c r="G38" s="48"/>
      <c r="H38" s="1"/>
      <c r="I38" s="1"/>
      <c r="J38" s="1"/>
      <c r="K38" s="1"/>
      <c r="L38" s="1"/>
      <c r="M38" s="1"/>
      <c r="N38" s="1"/>
      <c r="O38" s="1"/>
      <c r="P38" s="49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45"/>
      <c r="B39" s="1"/>
      <c r="C39" s="1"/>
      <c r="D39" s="1"/>
      <c r="E39" s="51"/>
      <c r="F39" s="50"/>
      <c r="G39" s="48"/>
      <c r="H39" s="1"/>
      <c r="I39" s="1"/>
      <c r="J39" s="1"/>
      <c r="K39" s="1"/>
      <c r="L39" s="1"/>
      <c r="M39" s="1"/>
      <c r="N39" s="1"/>
      <c r="O39" s="1"/>
      <c r="P39" s="49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45"/>
      <c r="B40" s="1"/>
      <c r="C40" s="1"/>
      <c r="D40" s="1"/>
      <c r="E40" s="51"/>
      <c r="F40" s="50"/>
      <c r="G40" s="48"/>
      <c r="H40" s="1"/>
      <c r="I40" s="1"/>
      <c r="J40" s="1"/>
      <c r="K40" s="1"/>
      <c r="L40" s="1"/>
      <c r="M40" s="1"/>
      <c r="N40" s="1"/>
      <c r="O40" s="1"/>
      <c r="P40" s="49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45"/>
      <c r="B41" s="1"/>
      <c r="C41" s="1"/>
      <c r="D41" s="1"/>
      <c r="E41" s="51"/>
      <c r="F41" s="50"/>
      <c r="G41" s="48"/>
      <c r="H41" s="1"/>
      <c r="I41" s="1"/>
      <c r="J41" s="1"/>
      <c r="K41" s="1"/>
      <c r="L41" s="1"/>
      <c r="M41" s="1"/>
      <c r="N41" s="1"/>
      <c r="O41" s="1"/>
      <c r="P41" s="49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45"/>
      <c r="B42" s="1"/>
      <c r="C42" s="1"/>
      <c r="D42" s="1"/>
      <c r="E42" s="51"/>
      <c r="F42" s="50"/>
      <c r="G42" s="48"/>
      <c r="H42" s="1"/>
      <c r="I42" s="1"/>
      <c r="J42" s="1"/>
      <c r="K42" s="1"/>
      <c r="L42" s="1"/>
      <c r="M42" s="1"/>
      <c r="N42" s="1"/>
      <c r="O42" s="1"/>
      <c r="P42" s="49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45"/>
      <c r="B43" s="1"/>
      <c r="C43" s="1"/>
      <c r="D43" s="1"/>
      <c r="E43" s="51"/>
      <c r="F43" s="50"/>
      <c r="G43" s="48"/>
      <c r="H43" s="1"/>
      <c r="I43" s="1"/>
      <c r="J43" s="1"/>
      <c r="K43" s="1"/>
      <c r="L43" s="1"/>
      <c r="M43" s="1"/>
      <c r="N43" s="1"/>
      <c r="O43" s="1"/>
      <c r="P43" s="49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45"/>
      <c r="B44" s="1"/>
      <c r="C44" s="1"/>
      <c r="D44" s="1"/>
      <c r="E44" s="51"/>
      <c r="F44" s="50"/>
      <c r="G44" s="48"/>
      <c r="H44" s="1"/>
      <c r="I44" s="1"/>
      <c r="J44" s="1"/>
      <c r="K44" s="1"/>
      <c r="L44" s="1"/>
      <c r="M44" s="1"/>
      <c r="N44" s="1"/>
      <c r="O44" s="1"/>
      <c r="P44" s="49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45"/>
      <c r="B45" s="1"/>
      <c r="C45" s="1"/>
      <c r="D45" s="1"/>
      <c r="E45" s="51"/>
      <c r="F45" s="50"/>
      <c r="G45" s="48"/>
      <c r="H45" s="1"/>
      <c r="I45" s="1"/>
      <c r="J45" s="1"/>
      <c r="K45" s="1"/>
      <c r="L45" s="1"/>
      <c r="M45" s="1"/>
      <c r="N45" s="1"/>
      <c r="O45" s="1"/>
      <c r="P45" s="49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45"/>
      <c r="B46" s="1"/>
      <c r="C46" s="1"/>
      <c r="D46" s="1"/>
      <c r="E46" s="51"/>
      <c r="F46" s="50"/>
      <c r="G46" s="48"/>
      <c r="H46" s="1"/>
      <c r="I46" s="1"/>
      <c r="J46" s="1"/>
      <c r="K46" s="1"/>
      <c r="L46" s="1"/>
      <c r="M46" s="1"/>
      <c r="N46" s="1"/>
      <c r="O46" s="1"/>
      <c r="P46" s="49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45"/>
      <c r="B47" s="1"/>
      <c r="C47" s="1"/>
      <c r="D47" s="1"/>
      <c r="E47" s="51"/>
      <c r="F47" s="50"/>
      <c r="G47" s="48"/>
      <c r="H47" s="1"/>
      <c r="I47" s="1"/>
      <c r="J47" s="1"/>
      <c r="K47" s="1"/>
      <c r="L47" s="1"/>
      <c r="M47" s="1"/>
      <c r="N47" s="1"/>
      <c r="O47" s="1"/>
      <c r="P47" s="49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45"/>
      <c r="B48" s="1"/>
      <c r="C48" s="1"/>
      <c r="D48" s="1"/>
      <c r="E48" s="51"/>
      <c r="F48" s="50"/>
      <c r="G48" s="48"/>
      <c r="H48" s="1"/>
      <c r="I48" s="1"/>
      <c r="J48" s="1"/>
      <c r="K48" s="1"/>
      <c r="L48" s="1"/>
      <c r="M48" s="1"/>
      <c r="N48" s="1"/>
      <c r="O48" s="1"/>
      <c r="P48" s="49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45"/>
      <c r="B49" s="1"/>
      <c r="C49" s="1"/>
      <c r="D49" s="1"/>
      <c r="E49" s="51"/>
      <c r="F49" s="50"/>
      <c r="G49" s="48"/>
      <c r="H49" s="1"/>
      <c r="I49" s="1"/>
      <c r="J49" s="1"/>
      <c r="K49" s="1"/>
      <c r="L49" s="1"/>
      <c r="M49" s="1"/>
      <c r="N49" s="1"/>
      <c r="O49" s="1"/>
      <c r="P49" s="49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45"/>
      <c r="F50" s="52"/>
      <c r="G50" s="53"/>
      <c r="P50" s="54"/>
    </row>
    <row r="51">
      <c r="A51" s="45"/>
      <c r="F51" s="52"/>
      <c r="G51" s="53"/>
      <c r="P51" s="54"/>
    </row>
    <row r="52">
      <c r="A52" s="45"/>
      <c r="F52" s="52"/>
      <c r="G52" s="53"/>
      <c r="P52" s="54"/>
    </row>
    <row r="53">
      <c r="A53" s="45"/>
      <c r="F53" s="52"/>
      <c r="G53" s="53"/>
      <c r="P53" s="54"/>
    </row>
    <row r="54">
      <c r="A54" s="45"/>
      <c r="F54" s="52"/>
      <c r="G54" s="53"/>
      <c r="P54" s="54"/>
    </row>
    <row r="55">
      <c r="A55" s="45"/>
      <c r="F55" s="52"/>
      <c r="G55" s="53"/>
      <c r="P55" s="54"/>
    </row>
    <row r="56">
      <c r="A56" s="45"/>
      <c r="F56" s="52"/>
      <c r="G56" s="53"/>
      <c r="P56" s="54"/>
    </row>
    <row r="57">
      <c r="A57" s="45"/>
      <c r="F57" s="52"/>
      <c r="G57" s="53"/>
      <c r="P57" s="54"/>
    </row>
    <row r="58">
      <c r="A58" s="45"/>
      <c r="F58" s="52"/>
      <c r="G58" s="53"/>
      <c r="P58" s="54"/>
    </row>
    <row r="59">
      <c r="A59" s="45"/>
      <c r="F59" s="52"/>
      <c r="G59" s="53"/>
      <c r="P59" s="54"/>
    </row>
    <row r="60">
      <c r="A60" s="45"/>
      <c r="F60" s="52"/>
      <c r="G60" s="53"/>
      <c r="P60" s="54"/>
    </row>
    <row r="61">
      <c r="A61" s="45"/>
      <c r="F61" s="52"/>
      <c r="G61" s="53"/>
      <c r="P61" s="54"/>
    </row>
    <row r="62">
      <c r="A62" s="45"/>
      <c r="F62" s="52"/>
      <c r="G62" s="53"/>
      <c r="P62" s="54"/>
    </row>
    <row r="63">
      <c r="A63" s="45"/>
      <c r="F63" s="52"/>
      <c r="G63" s="53"/>
      <c r="P63" s="54"/>
    </row>
    <row r="64">
      <c r="A64" s="45"/>
      <c r="F64" s="52"/>
      <c r="G64" s="53"/>
      <c r="P64" s="54"/>
    </row>
    <row r="65">
      <c r="A65" s="45"/>
      <c r="F65" s="52"/>
      <c r="G65" s="53"/>
      <c r="P65" s="54"/>
    </row>
    <row r="66">
      <c r="A66" s="45"/>
      <c r="F66" s="52"/>
      <c r="G66" s="53"/>
      <c r="P66" s="54"/>
    </row>
    <row r="67">
      <c r="A67" s="45"/>
      <c r="F67" s="52"/>
      <c r="G67" s="53"/>
      <c r="P67" s="54"/>
    </row>
    <row r="68">
      <c r="A68" s="45"/>
      <c r="F68" s="52"/>
      <c r="G68" s="53"/>
      <c r="P68" s="54"/>
    </row>
    <row r="69">
      <c r="A69" s="45"/>
      <c r="F69" s="52"/>
      <c r="G69" s="53"/>
      <c r="P69" s="54"/>
    </row>
    <row r="70">
      <c r="A70" s="45"/>
      <c r="F70" s="52"/>
      <c r="G70" s="53"/>
      <c r="P70" s="54"/>
    </row>
    <row r="71">
      <c r="A71" s="45"/>
      <c r="F71" s="52"/>
      <c r="G71" s="53"/>
      <c r="P71" s="54"/>
    </row>
    <row r="72">
      <c r="A72" s="45"/>
      <c r="F72" s="52"/>
      <c r="G72" s="53"/>
      <c r="P72" s="54"/>
    </row>
    <row r="73">
      <c r="A73" s="45"/>
      <c r="F73" s="52"/>
      <c r="G73" s="53"/>
      <c r="P73" s="54"/>
    </row>
    <row r="74">
      <c r="A74" s="45"/>
      <c r="F74" s="52"/>
      <c r="G74" s="53"/>
      <c r="P74" s="54"/>
    </row>
    <row r="75">
      <c r="A75" s="45"/>
      <c r="F75" s="52"/>
      <c r="G75" s="53"/>
      <c r="P75" s="54"/>
    </row>
    <row r="76">
      <c r="A76" s="45"/>
      <c r="F76" s="52"/>
      <c r="G76" s="53"/>
      <c r="P76" s="54"/>
    </row>
    <row r="77">
      <c r="A77" s="45"/>
      <c r="F77" s="52"/>
      <c r="G77" s="53"/>
      <c r="P77" s="54"/>
    </row>
    <row r="78">
      <c r="A78" s="45"/>
      <c r="F78" s="52"/>
      <c r="G78" s="53"/>
      <c r="P78" s="54"/>
    </row>
    <row r="79">
      <c r="A79" s="45"/>
      <c r="F79" s="52"/>
      <c r="G79" s="53"/>
      <c r="P79" s="54"/>
    </row>
    <row r="80">
      <c r="A80" s="45"/>
      <c r="F80" s="52"/>
      <c r="G80" s="53"/>
      <c r="P80" s="54"/>
    </row>
    <row r="81">
      <c r="A81" s="45"/>
      <c r="F81" s="52"/>
      <c r="G81" s="53"/>
      <c r="P81" s="54"/>
    </row>
    <row r="82">
      <c r="A82" s="45"/>
      <c r="F82" s="52"/>
      <c r="G82" s="53"/>
      <c r="P82" s="54"/>
    </row>
    <row r="83">
      <c r="A83" s="45"/>
      <c r="F83" s="52"/>
      <c r="G83" s="53"/>
      <c r="P83" s="54"/>
    </row>
    <row r="84">
      <c r="A84" s="45"/>
      <c r="F84" s="52"/>
      <c r="G84" s="53"/>
      <c r="P84" s="54"/>
    </row>
    <row r="85">
      <c r="A85" s="45"/>
      <c r="F85" s="52"/>
      <c r="G85" s="53"/>
      <c r="P85" s="54"/>
    </row>
    <row r="86">
      <c r="A86" s="45"/>
      <c r="F86" s="52"/>
      <c r="G86" s="53"/>
      <c r="P86" s="54"/>
    </row>
    <row r="87">
      <c r="A87" s="45"/>
      <c r="F87" s="52"/>
      <c r="G87" s="53"/>
      <c r="P87" s="54"/>
    </row>
    <row r="88">
      <c r="A88" s="45"/>
      <c r="F88" s="52"/>
      <c r="G88" s="53"/>
      <c r="P88" s="54"/>
    </row>
    <row r="89">
      <c r="A89" s="45"/>
      <c r="F89" s="52"/>
      <c r="G89" s="53"/>
      <c r="P89" s="54"/>
    </row>
    <row r="90">
      <c r="A90" s="45"/>
      <c r="F90" s="52"/>
      <c r="G90" s="53"/>
      <c r="P90" s="54"/>
    </row>
    <row r="91">
      <c r="A91" s="45"/>
      <c r="F91" s="52"/>
      <c r="G91" s="53"/>
      <c r="P91" s="54"/>
    </row>
    <row r="92">
      <c r="A92" s="45"/>
      <c r="F92" s="52"/>
      <c r="G92" s="53"/>
      <c r="P92" s="54"/>
    </row>
    <row r="93">
      <c r="A93" s="45"/>
      <c r="F93" s="52"/>
      <c r="G93" s="53"/>
      <c r="P93" s="54"/>
    </row>
    <row r="94">
      <c r="A94" s="45"/>
      <c r="F94" s="52"/>
      <c r="G94" s="53"/>
      <c r="P94" s="54"/>
    </row>
    <row r="95">
      <c r="A95" s="45"/>
      <c r="F95" s="52"/>
      <c r="G95" s="53"/>
      <c r="P95" s="54"/>
    </row>
    <row r="96">
      <c r="A96" s="45"/>
      <c r="F96" s="52"/>
      <c r="G96" s="53"/>
      <c r="P96" s="54"/>
    </row>
    <row r="97">
      <c r="A97" s="45"/>
      <c r="F97" s="52"/>
      <c r="G97" s="53"/>
      <c r="P97" s="54"/>
    </row>
    <row r="98">
      <c r="A98" s="45"/>
      <c r="F98" s="52"/>
      <c r="G98" s="53"/>
      <c r="P98" s="54"/>
    </row>
    <row r="99">
      <c r="A99" s="45"/>
      <c r="F99" s="52"/>
      <c r="G99" s="53"/>
      <c r="P99" s="54"/>
    </row>
    <row r="100">
      <c r="A100" s="45"/>
      <c r="F100" s="52"/>
      <c r="G100" s="53"/>
      <c r="P100" s="54"/>
    </row>
    <row r="101">
      <c r="A101" s="45"/>
      <c r="F101" s="52"/>
      <c r="G101" s="53"/>
      <c r="P101" s="54"/>
    </row>
    <row r="102">
      <c r="A102" s="45"/>
      <c r="F102" s="52"/>
      <c r="G102" s="53"/>
      <c r="P102" s="54"/>
    </row>
    <row r="103">
      <c r="A103" s="45"/>
      <c r="F103" s="52"/>
      <c r="G103" s="53"/>
      <c r="P103" s="54"/>
    </row>
    <row r="104">
      <c r="A104" s="45"/>
      <c r="F104" s="52"/>
      <c r="G104" s="53"/>
      <c r="P104" s="54"/>
    </row>
    <row r="105">
      <c r="A105" s="45"/>
      <c r="F105" s="52"/>
      <c r="G105" s="53"/>
      <c r="P105" s="54"/>
    </row>
    <row r="106">
      <c r="A106" s="45"/>
      <c r="F106" s="52"/>
      <c r="G106" s="53"/>
      <c r="P106" s="54"/>
    </row>
    <row r="107">
      <c r="A107" s="45"/>
      <c r="F107" s="52"/>
      <c r="G107" s="53"/>
      <c r="P107" s="54"/>
    </row>
    <row r="108">
      <c r="A108" s="45"/>
      <c r="F108" s="52"/>
      <c r="G108" s="53"/>
      <c r="P108" s="54"/>
    </row>
    <row r="109">
      <c r="A109" s="45"/>
      <c r="F109" s="52"/>
      <c r="G109" s="53"/>
      <c r="P109" s="54"/>
    </row>
    <row r="110">
      <c r="A110" s="45"/>
      <c r="F110" s="52"/>
      <c r="G110" s="53"/>
      <c r="P110" s="54"/>
    </row>
    <row r="111">
      <c r="A111" s="45"/>
      <c r="F111" s="52"/>
      <c r="G111" s="53"/>
      <c r="P111" s="54"/>
    </row>
    <row r="112">
      <c r="A112" s="45"/>
      <c r="F112" s="52"/>
      <c r="G112" s="53"/>
      <c r="P112" s="54"/>
    </row>
    <row r="113">
      <c r="A113" s="45"/>
      <c r="F113" s="52"/>
      <c r="G113" s="53"/>
      <c r="P113" s="54"/>
    </row>
    <row r="114">
      <c r="A114" s="45"/>
      <c r="F114" s="52"/>
      <c r="G114" s="53"/>
      <c r="P114" s="54"/>
    </row>
    <row r="115">
      <c r="A115" s="45"/>
      <c r="F115" s="52"/>
      <c r="G115" s="53"/>
      <c r="P115" s="54"/>
    </row>
    <row r="116">
      <c r="A116" s="45"/>
      <c r="F116" s="52"/>
      <c r="G116" s="53"/>
      <c r="P116" s="54"/>
    </row>
    <row r="117">
      <c r="A117" s="45"/>
      <c r="F117" s="52"/>
      <c r="G117" s="53"/>
      <c r="P117" s="54"/>
    </row>
    <row r="118">
      <c r="A118" s="45"/>
      <c r="F118" s="52"/>
      <c r="G118" s="53"/>
      <c r="P118" s="54"/>
    </row>
    <row r="119">
      <c r="A119" s="45"/>
      <c r="F119" s="52"/>
      <c r="G119" s="53"/>
      <c r="P119" s="54"/>
    </row>
    <row r="120">
      <c r="A120" s="45"/>
      <c r="F120" s="52"/>
      <c r="G120" s="53"/>
      <c r="P120" s="54"/>
    </row>
    <row r="121">
      <c r="A121" s="45"/>
      <c r="F121" s="52"/>
      <c r="G121" s="53"/>
      <c r="P121" s="54"/>
    </row>
    <row r="122">
      <c r="A122" s="45"/>
      <c r="F122" s="52"/>
      <c r="G122" s="53"/>
      <c r="P122" s="54"/>
    </row>
    <row r="123">
      <c r="A123" s="45"/>
      <c r="F123" s="52"/>
      <c r="G123" s="53"/>
      <c r="P123" s="54"/>
    </row>
    <row r="124">
      <c r="A124" s="45"/>
      <c r="F124" s="52"/>
      <c r="G124" s="53"/>
      <c r="P124" s="54"/>
    </row>
    <row r="125">
      <c r="A125" s="45"/>
      <c r="F125" s="52"/>
      <c r="G125" s="53"/>
      <c r="P125" s="54"/>
    </row>
    <row r="126">
      <c r="A126" s="45"/>
      <c r="F126" s="52"/>
      <c r="G126" s="53"/>
      <c r="P126" s="54"/>
    </row>
    <row r="127">
      <c r="A127" s="45"/>
      <c r="F127" s="52"/>
      <c r="G127" s="53"/>
      <c r="P127" s="54"/>
    </row>
    <row r="128">
      <c r="A128" s="45"/>
      <c r="F128" s="52"/>
      <c r="G128" s="53"/>
      <c r="P128" s="54"/>
    </row>
    <row r="129">
      <c r="A129" s="45"/>
      <c r="F129" s="52"/>
      <c r="G129" s="53"/>
      <c r="P129" s="54"/>
    </row>
    <row r="130">
      <c r="A130" s="45"/>
      <c r="F130" s="52"/>
      <c r="G130" s="53"/>
      <c r="P130" s="54"/>
    </row>
    <row r="131">
      <c r="A131" s="45"/>
      <c r="F131" s="52"/>
      <c r="G131" s="53"/>
      <c r="P131" s="54"/>
    </row>
    <row r="132">
      <c r="A132" s="45"/>
      <c r="F132" s="52"/>
      <c r="G132" s="53"/>
      <c r="P132" s="54"/>
    </row>
    <row r="133">
      <c r="A133" s="45"/>
      <c r="F133" s="52"/>
      <c r="G133" s="53"/>
      <c r="P133" s="54"/>
    </row>
    <row r="134">
      <c r="A134" s="45"/>
      <c r="F134" s="52"/>
      <c r="G134" s="53"/>
      <c r="P134" s="54"/>
    </row>
    <row r="135">
      <c r="A135" s="45"/>
      <c r="F135" s="52"/>
      <c r="G135" s="53"/>
      <c r="P135" s="54"/>
    </row>
    <row r="136">
      <c r="A136" s="45"/>
      <c r="F136" s="52"/>
      <c r="G136" s="53"/>
      <c r="P136" s="54"/>
    </row>
    <row r="137">
      <c r="A137" s="45"/>
      <c r="F137" s="52"/>
      <c r="G137" s="53"/>
      <c r="P137" s="54"/>
    </row>
    <row r="138">
      <c r="A138" s="45"/>
      <c r="F138" s="52"/>
      <c r="G138" s="53"/>
      <c r="P138" s="54"/>
    </row>
    <row r="139">
      <c r="A139" s="45"/>
      <c r="F139" s="52"/>
      <c r="G139" s="53"/>
      <c r="P139" s="54"/>
    </row>
    <row r="140">
      <c r="A140" s="45"/>
      <c r="F140" s="52"/>
      <c r="G140" s="53"/>
      <c r="P140" s="54"/>
    </row>
    <row r="141">
      <c r="A141" s="45"/>
      <c r="F141" s="52"/>
      <c r="G141" s="53"/>
      <c r="P141" s="54"/>
    </row>
    <row r="142">
      <c r="A142" s="45"/>
      <c r="F142" s="52"/>
      <c r="G142" s="53"/>
      <c r="P142" s="54"/>
    </row>
    <row r="143">
      <c r="A143" s="45"/>
      <c r="F143" s="52"/>
      <c r="G143" s="53"/>
      <c r="P143" s="54"/>
    </row>
    <row r="144">
      <c r="A144" s="45"/>
      <c r="F144" s="52"/>
      <c r="G144" s="53"/>
      <c r="P144" s="54"/>
    </row>
    <row r="145">
      <c r="A145" s="45"/>
      <c r="F145" s="52"/>
      <c r="G145" s="53"/>
      <c r="P145" s="54"/>
    </row>
    <row r="146">
      <c r="A146" s="45"/>
      <c r="F146" s="52"/>
      <c r="G146" s="53"/>
      <c r="P146" s="54"/>
    </row>
    <row r="147">
      <c r="A147" s="45"/>
      <c r="F147" s="52"/>
      <c r="G147" s="53"/>
      <c r="P147" s="54"/>
    </row>
    <row r="148">
      <c r="A148" s="45"/>
      <c r="F148" s="52"/>
      <c r="G148" s="53"/>
      <c r="P148" s="54"/>
    </row>
    <row r="149">
      <c r="A149" s="45"/>
      <c r="F149" s="52"/>
      <c r="G149" s="53"/>
      <c r="P149" s="54"/>
    </row>
    <row r="150">
      <c r="A150" s="45"/>
      <c r="F150" s="52"/>
      <c r="G150" s="53"/>
      <c r="P150" s="54"/>
    </row>
    <row r="151">
      <c r="A151" s="45"/>
      <c r="F151" s="52"/>
      <c r="G151" s="53"/>
      <c r="P151" s="54"/>
    </row>
    <row r="152">
      <c r="A152" s="45"/>
      <c r="F152" s="52"/>
      <c r="G152" s="53"/>
      <c r="P152" s="54"/>
    </row>
    <row r="153">
      <c r="A153" s="45"/>
      <c r="F153" s="52"/>
      <c r="G153" s="53"/>
      <c r="P153" s="54"/>
    </row>
    <row r="154">
      <c r="A154" s="45"/>
      <c r="F154" s="52"/>
      <c r="G154" s="53"/>
      <c r="P154" s="54"/>
    </row>
    <row r="155">
      <c r="A155" s="45"/>
      <c r="F155" s="52"/>
      <c r="G155" s="53"/>
      <c r="P155" s="54"/>
    </row>
    <row r="156">
      <c r="A156" s="45"/>
      <c r="F156" s="52"/>
      <c r="G156" s="53"/>
      <c r="P156" s="54"/>
    </row>
    <row r="157">
      <c r="A157" s="45"/>
      <c r="F157" s="52"/>
      <c r="G157" s="53"/>
      <c r="P157" s="54"/>
    </row>
    <row r="158">
      <c r="A158" s="45"/>
      <c r="F158" s="52"/>
      <c r="G158" s="53"/>
      <c r="P158" s="54"/>
    </row>
    <row r="159">
      <c r="A159" s="45"/>
      <c r="F159" s="52"/>
      <c r="G159" s="53"/>
      <c r="P159" s="54"/>
    </row>
    <row r="160">
      <c r="A160" s="45"/>
      <c r="F160" s="52"/>
      <c r="G160" s="53"/>
      <c r="P160" s="54"/>
    </row>
    <row r="161">
      <c r="A161" s="45"/>
      <c r="F161" s="52"/>
      <c r="G161" s="53"/>
      <c r="P161" s="54"/>
    </row>
    <row r="162">
      <c r="A162" s="45"/>
      <c r="F162" s="52"/>
      <c r="G162" s="53"/>
      <c r="P162" s="54"/>
    </row>
    <row r="163">
      <c r="A163" s="45"/>
      <c r="F163" s="52"/>
      <c r="G163" s="53"/>
      <c r="P163" s="54"/>
    </row>
    <row r="164">
      <c r="A164" s="45"/>
      <c r="F164" s="52"/>
      <c r="G164" s="53"/>
      <c r="P164" s="54"/>
    </row>
    <row r="165">
      <c r="A165" s="45"/>
      <c r="F165" s="52"/>
      <c r="G165" s="53"/>
      <c r="P165" s="54"/>
    </row>
    <row r="166">
      <c r="A166" s="45"/>
      <c r="F166" s="52"/>
      <c r="G166" s="53"/>
      <c r="P166" s="54"/>
    </row>
    <row r="167">
      <c r="A167" s="45"/>
      <c r="F167" s="52"/>
      <c r="G167" s="53"/>
      <c r="P167" s="54"/>
    </row>
    <row r="168">
      <c r="A168" s="45"/>
      <c r="F168" s="52"/>
      <c r="G168" s="53"/>
      <c r="P168" s="54"/>
    </row>
    <row r="169">
      <c r="A169" s="45"/>
      <c r="F169" s="52"/>
      <c r="G169" s="53"/>
      <c r="P169" s="54"/>
    </row>
    <row r="170">
      <c r="A170" s="45"/>
      <c r="F170" s="52"/>
      <c r="G170" s="53"/>
      <c r="P170" s="54"/>
    </row>
    <row r="171">
      <c r="A171" s="45"/>
      <c r="F171" s="52"/>
      <c r="G171" s="53"/>
      <c r="P171" s="54"/>
    </row>
    <row r="172">
      <c r="A172" s="45"/>
      <c r="F172" s="52"/>
      <c r="G172" s="53"/>
      <c r="P172" s="54"/>
    </row>
    <row r="173">
      <c r="A173" s="45"/>
      <c r="F173" s="52"/>
      <c r="G173" s="53"/>
      <c r="P173" s="54"/>
    </row>
    <row r="174">
      <c r="A174" s="45"/>
      <c r="F174" s="52"/>
      <c r="G174" s="53"/>
      <c r="P174" s="54"/>
    </row>
    <row r="175">
      <c r="A175" s="45"/>
      <c r="F175" s="52"/>
      <c r="G175" s="53"/>
      <c r="P175" s="54"/>
    </row>
    <row r="176">
      <c r="A176" s="45"/>
      <c r="F176" s="52"/>
      <c r="G176" s="53"/>
      <c r="P176" s="54"/>
    </row>
    <row r="177">
      <c r="A177" s="45"/>
      <c r="F177" s="52"/>
      <c r="G177" s="53"/>
      <c r="P177" s="54"/>
    </row>
    <row r="178">
      <c r="A178" s="45"/>
      <c r="F178" s="52"/>
      <c r="G178" s="53"/>
      <c r="P178" s="54"/>
    </row>
    <row r="179">
      <c r="A179" s="45"/>
      <c r="F179" s="52"/>
      <c r="G179" s="53"/>
      <c r="P179" s="54"/>
    </row>
    <row r="180">
      <c r="A180" s="45"/>
      <c r="F180" s="52"/>
      <c r="G180" s="53"/>
      <c r="P180" s="54"/>
    </row>
    <row r="181">
      <c r="A181" s="45"/>
      <c r="F181" s="52"/>
      <c r="G181" s="53"/>
      <c r="P181" s="54"/>
    </row>
    <row r="182">
      <c r="A182" s="45"/>
      <c r="F182" s="52"/>
      <c r="G182" s="53"/>
      <c r="P182" s="54"/>
    </row>
    <row r="183">
      <c r="A183" s="45"/>
      <c r="F183" s="52"/>
      <c r="G183" s="53"/>
      <c r="P183" s="54"/>
    </row>
    <row r="184">
      <c r="A184" s="45"/>
      <c r="F184" s="52"/>
      <c r="G184" s="53"/>
      <c r="P184" s="54"/>
    </row>
    <row r="185">
      <c r="A185" s="45"/>
      <c r="F185" s="52"/>
      <c r="G185" s="53"/>
      <c r="P185" s="54"/>
    </row>
    <row r="186">
      <c r="A186" s="45"/>
      <c r="F186" s="52"/>
      <c r="G186" s="53"/>
      <c r="P186" s="54"/>
    </row>
    <row r="187">
      <c r="A187" s="45"/>
      <c r="F187" s="52"/>
      <c r="G187" s="53"/>
      <c r="P187" s="54"/>
    </row>
    <row r="188">
      <c r="A188" s="45"/>
      <c r="F188" s="52"/>
      <c r="G188" s="53"/>
      <c r="P188" s="54"/>
    </row>
    <row r="189">
      <c r="A189" s="45"/>
      <c r="F189" s="52"/>
      <c r="G189" s="53"/>
      <c r="P189" s="54"/>
    </row>
    <row r="190">
      <c r="A190" s="45"/>
      <c r="F190" s="52"/>
      <c r="G190" s="53"/>
      <c r="P190" s="54"/>
    </row>
    <row r="191">
      <c r="A191" s="45"/>
      <c r="F191" s="52"/>
      <c r="G191" s="53"/>
      <c r="P191" s="54"/>
    </row>
    <row r="192">
      <c r="A192" s="45"/>
      <c r="F192" s="52"/>
      <c r="G192" s="53"/>
      <c r="P192" s="54"/>
    </row>
    <row r="193">
      <c r="A193" s="45"/>
      <c r="F193" s="52"/>
      <c r="G193" s="53"/>
      <c r="P193" s="54"/>
    </row>
    <row r="194">
      <c r="A194" s="45"/>
      <c r="F194" s="52"/>
      <c r="G194" s="53"/>
      <c r="P194" s="54"/>
    </row>
    <row r="195">
      <c r="A195" s="45"/>
      <c r="F195" s="52"/>
      <c r="G195" s="53"/>
      <c r="P195" s="54"/>
    </row>
    <row r="196">
      <c r="A196" s="45"/>
      <c r="F196" s="52"/>
      <c r="G196" s="53"/>
      <c r="P196" s="54"/>
    </row>
    <row r="197">
      <c r="A197" s="45"/>
      <c r="F197" s="52"/>
      <c r="G197" s="53"/>
      <c r="P197" s="54"/>
    </row>
    <row r="198">
      <c r="A198" s="45"/>
      <c r="F198" s="52"/>
      <c r="G198" s="53"/>
      <c r="P198" s="54"/>
    </row>
    <row r="199">
      <c r="A199" s="45"/>
      <c r="F199" s="52"/>
      <c r="G199" s="53"/>
      <c r="P199" s="54"/>
    </row>
    <row r="200">
      <c r="A200" s="45"/>
      <c r="F200" s="52"/>
      <c r="G200" s="53"/>
      <c r="P200" s="54"/>
    </row>
    <row r="201">
      <c r="A201" s="45"/>
      <c r="F201" s="52"/>
      <c r="G201" s="53"/>
      <c r="P201" s="54"/>
    </row>
    <row r="202">
      <c r="A202" s="45"/>
      <c r="F202" s="52"/>
      <c r="G202" s="53"/>
      <c r="P202" s="54"/>
    </row>
    <row r="203">
      <c r="A203" s="45"/>
      <c r="F203" s="52"/>
      <c r="G203" s="53"/>
      <c r="P203" s="54"/>
    </row>
    <row r="204">
      <c r="A204" s="45"/>
      <c r="F204" s="52"/>
      <c r="G204" s="53"/>
      <c r="P204" s="54"/>
    </row>
    <row r="205">
      <c r="A205" s="45"/>
      <c r="F205" s="52"/>
      <c r="G205" s="53"/>
      <c r="P205" s="54"/>
    </row>
    <row r="206">
      <c r="A206" s="45"/>
      <c r="F206" s="52"/>
      <c r="G206" s="53"/>
      <c r="P206" s="54"/>
    </row>
    <row r="207">
      <c r="A207" s="45"/>
      <c r="F207" s="52"/>
      <c r="G207" s="53"/>
      <c r="P207" s="54"/>
    </row>
    <row r="208">
      <c r="A208" s="45"/>
      <c r="F208" s="52"/>
      <c r="G208" s="53"/>
      <c r="P208" s="54"/>
    </row>
    <row r="209">
      <c r="A209" s="45"/>
      <c r="F209" s="52"/>
      <c r="G209" s="53"/>
      <c r="P209" s="54"/>
    </row>
    <row r="210">
      <c r="A210" s="45"/>
      <c r="F210" s="52"/>
      <c r="G210" s="53"/>
      <c r="P210" s="54"/>
    </row>
    <row r="211">
      <c r="A211" s="45"/>
      <c r="F211" s="52"/>
      <c r="G211" s="53"/>
      <c r="P211" s="54"/>
    </row>
    <row r="212">
      <c r="A212" s="45"/>
      <c r="F212" s="52"/>
      <c r="G212" s="53"/>
      <c r="P212" s="54"/>
    </row>
    <row r="213">
      <c r="A213" s="45"/>
      <c r="F213" s="52"/>
      <c r="G213" s="53"/>
      <c r="P213" s="54"/>
    </row>
    <row r="214">
      <c r="A214" s="45"/>
      <c r="F214" s="52"/>
      <c r="G214" s="53"/>
      <c r="P214" s="54"/>
    </row>
    <row r="215">
      <c r="A215" s="45"/>
      <c r="F215" s="52"/>
      <c r="G215" s="53"/>
      <c r="P215" s="54"/>
    </row>
    <row r="216">
      <c r="A216" s="45"/>
      <c r="F216" s="52"/>
      <c r="G216" s="53"/>
      <c r="P216" s="54"/>
    </row>
    <row r="217">
      <c r="A217" s="45"/>
      <c r="F217" s="52"/>
      <c r="G217" s="53"/>
      <c r="P217" s="54"/>
    </row>
    <row r="218">
      <c r="A218" s="45"/>
      <c r="F218" s="52"/>
      <c r="G218" s="53"/>
      <c r="P218" s="54"/>
    </row>
    <row r="219">
      <c r="A219" s="45"/>
      <c r="F219" s="52"/>
      <c r="G219" s="53"/>
      <c r="P219" s="54"/>
    </row>
    <row r="220">
      <c r="A220" s="45"/>
      <c r="F220" s="52"/>
      <c r="G220" s="53"/>
      <c r="P220" s="54"/>
    </row>
    <row r="221">
      <c r="A221" s="45"/>
      <c r="F221" s="52"/>
      <c r="G221" s="53"/>
      <c r="P221" s="54"/>
    </row>
    <row r="222">
      <c r="A222" s="45"/>
      <c r="F222" s="52"/>
      <c r="G222" s="53"/>
      <c r="P222" s="54"/>
    </row>
    <row r="223">
      <c r="A223" s="45"/>
      <c r="F223" s="52"/>
      <c r="G223" s="53"/>
      <c r="P223" s="54"/>
    </row>
    <row r="224">
      <c r="A224" s="45"/>
      <c r="F224" s="52"/>
      <c r="G224" s="53"/>
      <c r="P224" s="54"/>
    </row>
    <row r="225">
      <c r="A225" s="45"/>
      <c r="F225" s="52"/>
      <c r="G225" s="53"/>
      <c r="P225" s="54"/>
    </row>
    <row r="226">
      <c r="A226" s="45"/>
      <c r="F226" s="52"/>
      <c r="G226" s="53"/>
      <c r="P226" s="54"/>
    </row>
    <row r="227">
      <c r="A227" s="45"/>
      <c r="F227" s="52"/>
      <c r="G227" s="53"/>
      <c r="P227" s="54"/>
    </row>
    <row r="228">
      <c r="A228" s="45"/>
      <c r="F228" s="52"/>
      <c r="G228" s="53"/>
      <c r="P228" s="54"/>
    </row>
    <row r="229">
      <c r="A229" s="45"/>
      <c r="F229" s="52"/>
      <c r="G229" s="53"/>
      <c r="P229" s="54"/>
    </row>
    <row r="230">
      <c r="A230" s="45"/>
      <c r="F230" s="52"/>
      <c r="G230" s="53"/>
      <c r="P230" s="54"/>
    </row>
    <row r="231">
      <c r="A231" s="45"/>
      <c r="F231" s="52"/>
      <c r="G231" s="53"/>
      <c r="P231" s="54"/>
    </row>
    <row r="232">
      <c r="A232" s="45"/>
      <c r="F232" s="52"/>
      <c r="G232" s="53"/>
      <c r="P232" s="54"/>
    </row>
    <row r="233">
      <c r="A233" s="45"/>
      <c r="F233" s="52"/>
      <c r="G233" s="53"/>
      <c r="P233" s="54"/>
    </row>
    <row r="234">
      <c r="A234" s="45"/>
      <c r="F234" s="52"/>
      <c r="G234" s="53"/>
      <c r="P234" s="54"/>
    </row>
    <row r="235">
      <c r="A235" s="45"/>
      <c r="F235" s="52"/>
      <c r="G235" s="53"/>
      <c r="P235" s="54"/>
    </row>
    <row r="236">
      <c r="A236" s="45"/>
      <c r="F236" s="52"/>
      <c r="G236" s="53"/>
      <c r="P236" s="54"/>
    </row>
    <row r="237">
      <c r="A237" s="45"/>
      <c r="F237" s="52"/>
      <c r="G237" s="53"/>
      <c r="P237" s="54"/>
    </row>
    <row r="238">
      <c r="A238" s="45"/>
      <c r="F238" s="52"/>
      <c r="G238" s="53"/>
      <c r="P238" s="54"/>
    </row>
    <row r="239">
      <c r="A239" s="45"/>
      <c r="F239" s="52"/>
      <c r="G239" s="53"/>
      <c r="P239" s="54"/>
    </row>
    <row r="240">
      <c r="A240" s="45"/>
      <c r="F240" s="52"/>
      <c r="G240" s="53"/>
      <c r="P240" s="54"/>
    </row>
    <row r="241">
      <c r="A241" s="45"/>
      <c r="F241" s="52"/>
      <c r="G241" s="53"/>
      <c r="P241" s="54"/>
    </row>
    <row r="242">
      <c r="A242" s="45"/>
      <c r="F242" s="52"/>
      <c r="G242" s="53"/>
      <c r="P242" s="54"/>
    </row>
    <row r="243">
      <c r="A243" s="45"/>
      <c r="F243" s="52"/>
      <c r="G243" s="53"/>
      <c r="P243" s="54"/>
    </row>
    <row r="244">
      <c r="A244" s="45"/>
      <c r="F244" s="52"/>
      <c r="G244" s="53"/>
      <c r="P244" s="54"/>
    </row>
    <row r="245">
      <c r="A245" s="45"/>
      <c r="F245" s="52"/>
      <c r="G245" s="53"/>
      <c r="P245" s="54"/>
    </row>
    <row r="246">
      <c r="A246" s="45"/>
      <c r="F246" s="52"/>
      <c r="G246" s="53"/>
      <c r="P246" s="54"/>
    </row>
    <row r="247">
      <c r="A247" s="45"/>
      <c r="F247" s="52"/>
      <c r="G247" s="53"/>
      <c r="P247" s="54"/>
    </row>
    <row r="248">
      <c r="A248" s="45"/>
      <c r="F248" s="52"/>
      <c r="G248" s="53"/>
      <c r="P248" s="54"/>
    </row>
    <row r="249">
      <c r="A249" s="45"/>
      <c r="F249" s="52"/>
      <c r="G249" s="53"/>
      <c r="P249" s="54"/>
    </row>
    <row r="250">
      <c r="A250" s="45"/>
      <c r="F250" s="52"/>
      <c r="G250" s="53"/>
      <c r="P250" s="54"/>
    </row>
    <row r="251">
      <c r="A251" s="45"/>
      <c r="F251" s="52"/>
      <c r="G251" s="53"/>
      <c r="P251" s="54"/>
    </row>
    <row r="252">
      <c r="A252" s="45"/>
      <c r="F252" s="52"/>
      <c r="G252" s="53"/>
      <c r="P252" s="54"/>
    </row>
    <row r="253">
      <c r="A253" s="45"/>
      <c r="F253" s="52"/>
      <c r="G253" s="53"/>
      <c r="P253" s="54"/>
    </row>
    <row r="254">
      <c r="A254" s="45"/>
      <c r="F254" s="52"/>
      <c r="G254" s="53"/>
      <c r="P254" s="54"/>
    </row>
    <row r="255">
      <c r="A255" s="45"/>
      <c r="F255" s="52"/>
      <c r="G255" s="53"/>
      <c r="P255" s="54"/>
    </row>
    <row r="256">
      <c r="A256" s="45"/>
      <c r="F256" s="52"/>
      <c r="G256" s="53"/>
      <c r="P256" s="54"/>
    </row>
    <row r="257">
      <c r="A257" s="45"/>
      <c r="F257" s="52"/>
      <c r="G257" s="53"/>
      <c r="P257" s="54"/>
    </row>
    <row r="258">
      <c r="A258" s="45"/>
      <c r="F258" s="52"/>
      <c r="G258" s="53"/>
      <c r="P258" s="54"/>
    </row>
    <row r="259">
      <c r="A259" s="45"/>
      <c r="F259" s="52"/>
      <c r="G259" s="53"/>
      <c r="P259" s="54"/>
    </row>
    <row r="260">
      <c r="A260" s="45"/>
      <c r="F260" s="52"/>
      <c r="G260" s="53"/>
      <c r="P260" s="54"/>
    </row>
    <row r="261">
      <c r="A261" s="45"/>
      <c r="F261" s="52"/>
      <c r="G261" s="53"/>
      <c r="P261" s="54"/>
    </row>
    <row r="262">
      <c r="A262" s="45"/>
      <c r="F262" s="52"/>
      <c r="G262" s="53"/>
      <c r="P262" s="54"/>
    </row>
    <row r="263">
      <c r="A263" s="45"/>
      <c r="F263" s="52"/>
      <c r="G263" s="53"/>
      <c r="P263" s="54"/>
    </row>
    <row r="264">
      <c r="A264" s="45"/>
      <c r="F264" s="52"/>
      <c r="G264" s="53"/>
      <c r="P264" s="54"/>
    </row>
    <row r="265">
      <c r="A265" s="45"/>
      <c r="F265" s="52"/>
      <c r="G265" s="53"/>
      <c r="P265" s="54"/>
    </row>
    <row r="266">
      <c r="A266" s="45"/>
      <c r="F266" s="52"/>
      <c r="G266" s="53"/>
      <c r="P266" s="54"/>
    </row>
    <row r="267">
      <c r="A267" s="45"/>
      <c r="F267" s="52"/>
      <c r="G267" s="53"/>
      <c r="P267" s="54"/>
    </row>
    <row r="268">
      <c r="A268" s="45"/>
      <c r="F268" s="52"/>
      <c r="G268" s="53"/>
      <c r="P268" s="54"/>
    </row>
    <row r="269">
      <c r="A269" s="45"/>
      <c r="F269" s="52"/>
      <c r="G269" s="53"/>
      <c r="P269" s="54"/>
    </row>
    <row r="270">
      <c r="A270" s="45"/>
      <c r="F270" s="52"/>
      <c r="G270" s="53"/>
      <c r="P270" s="54"/>
    </row>
    <row r="271">
      <c r="A271" s="45"/>
      <c r="F271" s="52"/>
      <c r="G271" s="53"/>
      <c r="P271" s="54"/>
    </row>
    <row r="272">
      <c r="A272" s="45"/>
      <c r="F272" s="52"/>
      <c r="G272" s="53"/>
      <c r="P272" s="54"/>
    </row>
    <row r="273">
      <c r="A273" s="45"/>
      <c r="F273" s="52"/>
      <c r="G273" s="53"/>
      <c r="P273" s="54"/>
    </row>
    <row r="274">
      <c r="A274" s="45"/>
      <c r="F274" s="52"/>
      <c r="G274" s="53"/>
      <c r="P274" s="54"/>
    </row>
    <row r="275">
      <c r="A275" s="45"/>
      <c r="F275" s="52"/>
      <c r="G275" s="53"/>
      <c r="P275" s="54"/>
    </row>
    <row r="276">
      <c r="A276" s="45"/>
      <c r="F276" s="52"/>
      <c r="G276" s="53"/>
      <c r="P276" s="54"/>
    </row>
    <row r="277">
      <c r="A277" s="45"/>
      <c r="F277" s="52"/>
      <c r="G277" s="53"/>
      <c r="P277" s="54"/>
    </row>
    <row r="278">
      <c r="A278" s="45"/>
      <c r="F278" s="52"/>
      <c r="G278" s="53"/>
      <c r="P278" s="54"/>
    </row>
    <row r="279">
      <c r="A279" s="45"/>
      <c r="F279" s="52"/>
      <c r="G279" s="53"/>
      <c r="P279" s="54"/>
    </row>
    <row r="280">
      <c r="A280" s="45"/>
      <c r="F280" s="52"/>
      <c r="G280" s="53"/>
      <c r="P280" s="54"/>
    </row>
    <row r="281">
      <c r="A281" s="45"/>
      <c r="F281" s="52"/>
      <c r="G281" s="53"/>
      <c r="P281" s="54"/>
    </row>
    <row r="282">
      <c r="A282" s="45"/>
      <c r="F282" s="52"/>
      <c r="G282" s="53"/>
      <c r="P282" s="54"/>
    </row>
    <row r="283">
      <c r="A283" s="45"/>
      <c r="F283" s="52"/>
      <c r="G283" s="53"/>
      <c r="P283" s="54"/>
    </row>
    <row r="284">
      <c r="A284" s="45"/>
      <c r="F284" s="52"/>
      <c r="G284" s="53"/>
      <c r="P284" s="54"/>
    </row>
    <row r="285">
      <c r="A285" s="45"/>
      <c r="F285" s="52"/>
      <c r="G285" s="53"/>
      <c r="P285" s="54"/>
    </row>
    <row r="286">
      <c r="A286" s="45"/>
      <c r="F286" s="52"/>
      <c r="G286" s="53"/>
      <c r="P286" s="54"/>
    </row>
    <row r="287">
      <c r="A287" s="45"/>
      <c r="F287" s="52"/>
      <c r="G287" s="53"/>
      <c r="P287" s="54"/>
    </row>
    <row r="288">
      <c r="A288" s="45"/>
      <c r="F288" s="52"/>
      <c r="G288" s="53"/>
      <c r="P288" s="54"/>
    </row>
    <row r="289">
      <c r="A289" s="45"/>
      <c r="F289" s="52"/>
      <c r="G289" s="53"/>
      <c r="P289" s="54"/>
    </row>
    <row r="290">
      <c r="A290" s="45"/>
      <c r="F290" s="52"/>
      <c r="G290" s="53"/>
      <c r="P290" s="54"/>
    </row>
    <row r="291">
      <c r="A291" s="45"/>
      <c r="F291" s="52"/>
      <c r="G291" s="53"/>
      <c r="P291" s="54"/>
    </row>
    <row r="292">
      <c r="A292" s="45"/>
      <c r="F292" s="52"/>
      <c r="G292" s="53"/>
      <c r="P292" s="54"/>
    </row>
    <row r="293">
      <c r="A293" s="45"/>
      <c r="F293" s="52"/>
      <c r="G293" s="53"/>
      <c r="P293" s="54"/>
    </row>
    <row r="294">
      <c r="A294" s="45"/>
      <c r="F294" s="52"/>
      <c r="G294" s="53"/>
      <c r="P294" s="54"/>
    </row>
    <row r="295">
      <c r="A295" s="45"/>
      <c r="F295" s="52"/>
      <c r="G295" s="53"/>
      <c r="P295" s="54"/>
    </row>
    <row r="296">
      <c r="A296" s="45"/>
      <c r="F296" s="52"/>
      <c r="G296" s="53"/>
      <c r="P296" s="54"/>
    </row>
    <row r="297">
      <c r="A297" s="45"/>
      <c r="F297" s="52"/>
      <c r="G297" s="53"/>
      <c r="P297" s="54"/>
    </row>
    <row r="298">
      <c r="A298" s="45"/>
      <c r="F298" s="52"/>
      <c r="G298" s="53"/>
      <c r="P298" s="54"/>
    </row>
    <row r="299">
      <c r="A299" s="45"/>
      <c r="F299" s="52"/>
      <c r="G299" s="53"/>
      <c r="P299" s="54"/>
    </row>
    <row r="300">
      <c r="A300" s="45"/>
      <c r="F300" s="52"/>
      <c r="G300" s="53"/>
      <c r="P300" s="54"/>
    </row>
    <row r="301">
      <c r="A301" s="45"/>
      <c r="F301" s="52"/>
      <c r="G301" s="53"/>
      <c r="P301" s="54"/>
    </row>
    <row r="302">
      <c r="A302" s="45"/>
      <c r="F302" s="52"/>
      <c r="G302" s="53"/>
      <c r="P302" s="54"/>
    </row>
    <row r="303">
      <c r="A303" s="45"/>
      <c r="F303" s="52"/>
      <c r="G303" s="53"/>
      <c r="P303" s="54"/>
    </row>
    <row r="304">
      <c r="A304" s="45"/>
      <c r="F304" s="52"/>
      <c r="G304" s="53"/>
      <c r="P304" s="54"/>
    </row>
    <row r="305">
      <c r="A305" s="45"/>
      <c r="F305" s="52"/>
      <c r="G305" s="53"/>
      <c r="P305" s="54"/>
    </row>
    <row r="306">
      <c r="A306" s="45"/>
      <c r="F306" s="52"/>
      <c r="G306" s="53"/>
      <c r="P306" s="54"/>
    </row>
    <row r="307">
      <c r="A307" s="45"/>
      <c r="F307" s="52"/>
      <c r="G307" s="53"/>
      <c r="P307" s="54"/>
    </row>
    <row r="308">
      <c r="A308" s="45"/>
      <c r="F308" s="52"/>
      <c r="G308" s="53"/>
      <c r="P308" s="54"/>
    </row>
    <row r="309">
      <c r="A309" s="45"/>
      <c r="F309" s="52"/>
      <c r="G309" s="53"/>
      <c r="P309" s="54"/>
    </row>
    <row r="310">
      <c r="A310" s="45"/>
      <c r="F310" s="52"/>
      <c r="G310" s="53"/>
      <c r="P310" s="54"/>
    </row>
    <row r="311">
      <c r="A311" s="45"/>
      <c r="F311" s="52"/>
      <c r="G311" s="53"/>
      <c r="P311" s="54"/>
    </row>
    <row r="312">
      <c r="A312" s="45"/>
      <c r="F312" s="52"/>
      <c r="G312" s="53"/>
      <c r="P312" s="54"/>
    </row>
    <row r="313">
      <c r="A313" s="45"/>
      <c r="F313" s="52"/>
      <c r="G313" s="53"/>
      <c r="P313" s="54"/>
    </row>
    <row r="314">
      <c r="A314" s="45"/>
      <c r="F314" s="52"/>
      <c r="G314" s="53"/>
      <c r="P314" s="54"/>
    </row>
    <row r="315">
      <c r="A315" s="45"/>
      <c r="F315" s="52"/>
      <c r="G315" s="53"/>
      <c r="P315" s="54"/>
    </row>
    <row r="316">
      <c r="A316" s="45"/>
      <c r="F316" s="52"/>
      <c r="G316" s="53"/>
      <c r="P316" s="54"/>
    </row>
    <row r="317">
      <c r="A317" s="45"/>
      <c r="F317" s="52"/>
      <c r="G317" s="53"/>
      <c r="P317" s="54"/>
    </row>
    <row r="318">
      <c r="A318" s="45"/>
      <c r="F318" s="52"/>
      <c r="G318" s="53"/>
      <c r="P318" s="54"/>
    </row>
    <row r="319">
      <c r="A319" s="45"/>
      <c r="F319" s="52"/>
      <c r="G319" s="53"/>
      <c r="P319" s="54"/>
    </row>
    <row r="320">
      <c r="A320" s="45"/>
      <c r="F320" s="52"/>
      <c r="G320" s="53"/>
      <c r="P320" s="54"/>
    </row>
    <row r="321">
      <c r="A321" s="45"/>
      <c r="F321" s="52"/>
      <c r="G321" s="53"/>
      <c r="P321" s="54"/>
    </row>
    <row r="322">
      <c r="A322" s="45"/>
      <c r="F322" s="52"/>
      <c r="G322" s="53"/>
      <c r="P322" s="54"/>
    </row>
    <row r="323">
      <c r="A323" s="45"/>
      <c r="F323" s="52"/>
      <c r="G323" s="53"/>
      <c r="P323" s="54"/>
    </row>
    <row r="324">
      <c r="A324" s="45"/>
      <c r="F324" s="52"/>
      <c r="G324" s="53"/>
      <c r="P324" s="54"/>
    </row>
    <row r="325">
      <c r="A325" s="45"/>
      <c r="F325" s="52"/>
      <c r="G325" s="53"/>
      <c r="P325" s="54"/>
    </row>
    <row r="326">
      <c r="A326" s="45"/>
      <c r="F326" s="52"/>
      <c r="G326" s="53"/>
      <c r="P326" s="54"/>
    </row>
    <row r="327">
      <c r="A327" s="45"/>
      <c r="F327" s="52"/>
      <c r="G327" s="53"/>
      <c r="P327" s="54"/>
    </row>
    <row r="328">
      <c r="A328" s="45"/>
      <c r="F328" s="52"/>
      <c r="G328" s="53"/>
      <c r="P328" s="54"/>
    </row>
    <row r="329">
      <c r="A329" s="45"/>
      <c r="F329" s="52"/>
      <c r="G329" s="53"/>
      <c r="P329" s="54"/>
    </row>
    <row r="330">
      <c r="A330" s="45"/>
      <c r="F330" s="52"/>
      <c r="G330" s="53"/>
      <c r="P330" s="54"/>
    </row>
    <row r="331">
      <c r="A331" s="45"/>
      <c r="F331" s="52"/>
      <c r="G331" s="53"/>
      <c r="P331" s="54"/>
    </row>
    <row r="332">
      <c r="A332" s="45"/>
      <c r="F332" s="52"/>
      <c r="G332" s="53"/>
      <c r="P332" s="54"/>
    </row>
    <row r="333">
      <c r="A333" s="45"/>
      <c r="F333" s="52"/>
      <c r="G333" s="53"/>
      <c r="P333" s="54"/>
    </row>
    <row r="334">
      <c r="A334" s="45"/>
      <c r="F334" s="52"/>
      <c r="G334" s="53"/>
      <c r="P334" s="54"/>
    </row>
    <row r="335">
      <c r="A335" s="45"/>
      <c r="F335" s="52"/>
      <c r="G335" s="53"/>
      <c r="P335" s="54"/>
    </row>
    <row r="336">
      <c r="A336" s="45"/>
      <c r="F336" s="52"/>
      <c r="G336" s="53"/>
      <c r="P336" s="54"/>
    </row>
    <row r="337">
      <c r="A337" s="45"/>
      <c r="F337" s="52"/>
      <c r="G337" s="53"/>
      <c r="P337" s="54"/>
    </row>
    <row r="338">
      <c r="A338" s="45"/>
      <c r="F338" s="52"/>
      <c r="G338" s="53"/>
      <c r="P338" s="54"/>
    </row>
    <row r="339">
      <c r="A339" s="45"/>
      <c r="F339" s="52"/>
      <c r="G339" s="53"/>
      <c r="P339" s="54"/>
    </row>
    <row r="340">
      <c r="A340" s="45"/>
      <c r="F340" s="52"/>
      <c r="G340" s="53"/>
      <c r="P340" s="54"/>
    </row>
    <row r="341">
      <c r="A341" s="45"/>
      <c r="F341" s="52"/>
      <c r="G341" s="53"/>
      <c r="P341" s="54"/>
    </row>
    <row r="342">
      <c r="A342" s="45"/>
      <c r="F342" s="52"/>
      <c r="G342" s="53"/>
      <c r="P342" s="54"/>
    </row>
    <row r="343">
      <c r="A343" s="45"/>
      <c r="F343" s="52"/>
      <c r="G343" s="53"/>
      <c r="P343" s="54"/>
    </row>
    <row r="344">
      <c r="A344" s="45"/>
      <c r="F344" s="52"/>
      <c r="G344" s="53"/>
      <c r="P344" s="54"/>
    </row>
    <row r="345">
      <c r="A345" s="45"/>
      <c r="F345" s="52"/>
      <c r="G345" s="53"/>
      <c r="P345" s="54"/>
    </row>
    <row r="346">
      <c r="A346" s="45"/>
      <c r="F346" s="52"/>
      <c r="G346" s="53"/>
      <c r="P346" s="54"/>
    </row>
    <row r="347">
      <c r="A347" s="45"/>
      <c r="F347" s="52"/>
      <c r="G347" s="53"/>
      <c r="P347" s="54"/>
    </row>
    <row r="348">
      <c r="A348" s="45"/>
      <c r="F348" s="52"/>
      <c r="G348" s="53"/>
      <c r="P348" s="54"/>
    </row>
    <row r="349">
      <c r="A349" s="45"/>
      <c r="F349" s="52"/>
      <c r="G349" s="53"/>
      <c r="P349" s="54"/>
    </row>
    <row r="350">
      <c r="A350" s="45"/>
      <c r="F350" s="52"/>
      <c r="G350" s="53"/>
      <c r="P350" s="54"/>
    </row>
    <row r="351">
      <c r="A351" s="45"/>
      <c r="F351" s="52"/>
      <c r="G351" s="53"/>
      <c r="P351" s="54"/>
    </row>
    <row r="352">
      <c r="A352" s="45"/>
      <c r="F352" s="52"/>
      <c r="G352" s="53"/>
      <c r="P352" s="54"/>
    </row>
    <row r="353">
      <c r="A353" s="45"/>
      <c r="F353" s="52"/>
      <c r="G353" s="53"/>
      <c r="P353" s="54"/>
    </row>
    <row r="354">
      <c r="A354" s="45"/>
      <c r="F354" s="52"/>
      <c r="G354" s="53"/>
      <c r="P354" s="54"/>
    </row>
    <row r="355">
      <c r="A355" s="45"/>
      <c r="F355" s="52"/>
      <c r="G355" s="53"/>
      <c r="P355" s="54"/>
    </row>
    <row r="356">
      <c r="A356" s="45"/>
      <c r="F356" s="52"/>
      <c r="G356" s="53"/>
      <c r="P356" s="54"/>
    </row>
    <row r="357">
      <c r="A357" s="45"/>
      <c r="F357" s="52"/>
      <c r="G357" s="53"/>
      <c r="P357" s="54"/>
    </row>
    <row r="358">
      <c r="A358" s="45"/>
      <c r="F358" s="52"/>
      <c r="G358" s="53"/>
      <c r="P358" s="54"/>
    </row>
    <row r="359">
      <c r="A359" s="45"/>
      <c r="F359" s="52"/>
      <c r="G359" s="53"/>
      <c r="P359" s="54"/>
    </row>
    <row r="360">
      <c r="A360" s="45"/>
      <c r="F360" s="52"/>
      <c r="G360" s="53"/>
      <c r="P360" s="54"/>
    </row>
    <row r="361">
      <c r="A361" s="45"/>
      <c r="F361" s="52"/>
      <c r="G361" s="53"/>
      <c r="P361" s="54"/>
    </row>
    <row r="362">
      <c r="A362" s="45"/>
      <c r="F362" s="52"/>
      <c r="G362" s="53"/>
      <c r="P362" s="54"/>
    </row>
    <row r="363">
      <c r="A363" s="45"/>
      <c r="F363" s="52"/>
      <c r="G363" s="53"/>
      <c r="P363" s="54"/>
    </row>
    <row r="364">
      <c r="A364" s="45"/>
      <c r="F364" s="52"/>
      <c r="G364" s="53"/>
      <c r="P364" s="54"/>
    </row>
    <row r="365">
      <c r="A365" s="45"/>
      <c r="F365" s="52"/>
      <c r="G365" s="53"/>
      <c r="P365" s="54"/>
    </row>
    <row r="366">
      <c r="A366" s="45"/>
      <c r="F366" s="52"/>
      <c r="G366" s="53"/>
      <c r="P366" s="54"/>
    </row>
    <row r="367">
      <c r="A367" s="45"/>
      <c r="F367" s="52"/>
      <c r="G367" s="53"/>
      <c r="P367" s="54"/>
    </row>
    <row r="368">
      <c r="A368" s="45"/>
      <c r="F368" s="52"/>
      <c r="G368" s="53"/>
      <c r="P368" s="54"/>
    </row>
    <row r="369">
      <c r="A369" s="45"/>
      <c r="F369" s="52"/>
      <c r="G369" s="53"/>
      <c r="P369" s="54"/>
    </row>
    <row r="370">
      <c r="A370" s="45"/>
      <c r="F370" s="52"/>
      <c r="G370" s="53"/>
      <c r="P370" s="54"/>
    </row>
    <row r="371">
      <c r="A371" s="45"/>
      <c r="F371" s="52"/>
      <c r="G371" s="53"/>
      <c r="P371" s="54"/>
    </row>
    <row r="372">
      <c r="A372" s="45"/>
      <c r="F372" s="52"/>
      <c r="G372" s="53"/>
      <c r="P372" s="54"/>
    </row>
    <row r="373">
      <c r="A373" s="45"/>
      <c r="F373" s="52"/>
      <c r="G373" s="53"/>
      <c r="P373" s="54"/>
    </row>
    <row r="374">
      <c r="A374" s="45"/>
      <c r="F374" s="52"/>
      <c r="G374" s="53"/>
      <c r="P374" s="54"/>
    </row>
    <row r="375">
      <c r="A375" s="45"/>
      <c r="F375" s="52"/>
      <c r="G375" s="53"/>
      <c r="P375" s="54"/>
    </row>
    <row r="376">
      <c r="A376" s="45"/>
      <c r="F376" s="52"/>
      <c r="G376" s="53"/>
      <c r="P376" s="54"/>
    </row>
    <row r="377">
      <c r="A377" s="45"/>
      <c r="F377" s="52"/>
      <c r="G377" s="53"/>
      <c r="P377" s="54"/>
    </row>
    <row r="378">
      <c r="A378" s="45"/>
      <c r="F378" s="52"/>
      <c r="G378" s="53"/>
      <c r="P378" s="54"/>
    </row>
    <row r="379">
      <c r="A379" s="45"/>
      <c r="F379" s="52"/>
      <c r="G379" s="53"/>
      <c r="P379" s="54"/>
    </row>
    <row r="380">
      <c r="A380" s="45"/>
      <c r="F380" s="52"/>
      <c r="G380" s="53"/>
      <c r="P380" s="54"/>
    </row>
    <row r="381">
      <c r="A381" s="45"/>
      <c r="F381" s="52"/>
      <c r="G381" s="53"/>
      <c r="P381" s="54"/>
    </row>
    <row r="382">
      <c r="A382" s="45"/>
      <c r="F382" s="52"/>
      <c r="G382" s="53"/>
      <c r="P382" s="54"/>
    </row>
    <row r="383">
      <c r="A383" s="45"/>
      <c r="F383" s="52"/>
      <c r="G383" s="53"/>
      <c r="P383" s="54"/>
    </row>
    <row r="384">
      <c r="A384" s="45"/>
      <c r="F384" s="52"/>
      <c r="G384" s="53"/>
      <c r="P384" s="54"/>
    </row>
    <row r="385">
      <c r="A385" s="45"/>
      <c r="F385" s="52"/>
      <c r="G385" s="53"/>
      <c r="P385" s="54"/>
    </row>
    <row r="386">
      <c r="A386" s="45"/>
      <c r="F386" s="52"/>
      <c r="G386" s="53"/>
      <c r="P386" s="54"/>
    </row>
    <row r="387">
      <c r="A387" s="45"/>
      <c r="F387" s="52"/>
      <c r="G387" s="53"/>
      <c r="P387" s="54"/>
    </row>
    <row r="388">
      <c r="A388" s="45"/>
      <c r="F388" s="52"/>
      <c r="G388" s="53"/>
      <c r="P388" s="54"/>
    </row>
    <row r="389">
      <c r="A389" s="45"/>
      <c r="F389" s="52"/>
      <c r="G389" s="53"/>
      <c r="P389" s="54"/>
    </row>
    <row r="390">
      <c r="A390" s="45"/>
      <c r="F390" s="52"/>
      <c r="G390" s="53"/>
      <c r="P390" s="54"/>
    </row>
    <row r="391">
      <c r="A391" s="45"/>
      <c r="F391" s="52"/>
      <c r="G391" s="53"/>
      <c r="P391" s="54"/>
    </row>
    <row r="392">
      <c r="A392" s="45"/>
      <c r="F392" s="52"/>
      <c r="G392" s="53"/>
      <c r="P392" s="54"/>
    </row>
    <row r="393">
      <c r="A393" s="45"/>
      <c r="F393" s="52"/>
      <c r="G393" s="53"/>
      <c r="P393" s="54"/>
    </row>
    <row r="394">
      <c r="A394" s="45"/>
      <c r="F394" s="52"/>
      <c r="G394" s="53"/>
      <c r="P394" s="54"/>
    </row>
    <row r="395">
      <c r="A395" s="45"/>
      <c r="F395" s="52"/>
      <c r="G395" s="53"/>
      <c r="P395" s="54"/>
    </row>
    <row r="396">
      <c r="A396" s="45"/>
      <c r="F396" s="52"/>
      <c r="G396" s="53"/>
      <c r="P396" s="54"/>
    </row>
    <row r="397">
      <c r="A397" s="45"/>
      <c r="F397" s="52"/>
      <c r="G397" s="53"/>
      <c r="P397" s="54"/>
    </row>
    <row r="398">
      <c r="A398" s="45"/>
      <c r="F398" s="52"/>
      <c r="G398" s="53"/>
      <c r="P398" s="54"/>
    </row>
    <row r="399">
      <c r="A399" s="45"/>
      <c r="F399" s="52"/>
      <c r="G399" s="53"/>
      <c r="P399" s="54"/>
    </row>
    <row r="400">
      <c r="A400" s="45"/>
      <c r="F400" s="52"/>
      <c r="G400" s="53"/>
      <c r="P400" s="54"/>
    </row>
    <row r="401">
      <c r="A401" s="45"/>
      <c r="F401" s="52"/>
      <c r="G401" s="53"/>
      <c r="P401" s="54"/>
    </row>
    <row r="402">
      <c r="A402" s="45"/>
      <c r="F402" s="52"/>
      <c r="G402" s="53"/>
      <c r="P402" s="54"/>
    </row>
    <row r="403">
      <c r="A403" s="45"/>
      <c r="F403" s="52"/>
      <c r="G403" s="53"/>
      <c r="P403" s="54"/>
    </row>
    <row r="404">
      <c r="A404" s="45"/>
      <c r="F404" s="52"/>
      <c r="G404" s="53"/>
      <c r="P404" s="54"/>
    </row>
    <row r="405">
      <c r="A405" s="45"/>
      <c r="F405" s="52"/>
      <c r="G405" s="53"/>
      <c r="P405" s="54"/>
    </row>
    <row r="406">
      <c r="A406" s="45"/>
      <c r="F406" s="52"/>
      <c r="G406" s="53"/>
      <c r="P406" s="54"/>
    </row>
    <row r="407">
      <c r="A407" s="45"/>
      <c r="F407" s="52"/>
      <c r="G407" s="53"/>
      <c r="P407" s="54"/>
    </row>
    <row r="408">
      <c r="A408" s="45"/>
      <c r="F408" s="52"/>
      <c r="G408" s="53"/>
      <c r="P408" s="54"/>
    </row>
    <row r="409">
      <c r="A409" s="45"/>
      <c r="F409" s="52"/>
      <c r="G409" s="53"/>
      <c r="P409" s="54"/>
    </row>
    <row r="410">
      <c r="A410" s="45"/>
      <c r="F410" s="52"/>
      <c r="G410" s="53"/>
      <c r="P410" s="54"/>
    </row>
    <row r="411">
      <c r="A411" s="45"/>
      <c r="F411" s="52"/>
      <c r="G411" s="53"/>
      <c r="P411" s="54"/>
    </row>
    <row r="412">
      <c r="A412" s="45"/>
      <c r="F412" s="52"/>
      <c r="G412" s="53"/>
      <c r="P412" s="54"/>
    </row>
    <row r="413">
      <c r="A413" s="45"/>
      <c r="F413" s="52"/>
      <c r="G413" s="53"/>
      <c r="P413" s="54"/>
    </row>
    <row r="414">
      <c r="A414" s="45"/>
      <c r="F414" s="52"/>
      <c r="G414" s="53"/>
      <c r="P414" s="54"/>
    </row>
    <row r="415">
      <c r="A415" s="45"/>
      <c r="F415" s="52"/>
      <c r="G415" s="53"/>
      <c r="P415" s="54"/>
    </row>
    <row r="416">
      <c r="A416" s="45"/>
      <c r="F416" s="52"/>
      <c r="G416" s="53"/>
      <c r="P416" s="54"/>
    </row>
    <row r="417">
      <c r="A417" s="45"/>
      <c r="F417" s="52"/>
      <c r="G417" s="53"/>
      <c r="P417" s="54"/>
    </row>
    <row r="418">
      <c r="A418" s="45"/>
      <c r="F418" s="52"/>
      <c r="G418" s="53"/>
      <c r="P418" s="54"/>
    </row>
    <row r="419">
      <c r="A419" s="45"/>
      <c r="F419" s="52"/>
      <c r="G419" s="53"/>
      <c r="P419" s="54"/>
    </row>
    <row r="420">
      <c r="A420" s="45"/>
      <c r="F420" s="52"/>
      <c r="G420" s="53"/>
      <c r="P420" s="54"/>
    </row>
    <row r="421">
      <c r="A421" s="45"/>
      <c r="F421" s="52"/>
      <c r="G421" s="53"/>
      <c r="P421" s="54"/>
    </row>
    <row r="422">
      <c r="A422" s="45"/>
      <c r="F422" s="52"/>
      <c r="G422" s="53"/>
      <c r="P422" s="54"/>
    </row>
    <row r="423">
      <c r="A423" s="45"/>
      <c r="F423" s="52"/>
      <c r="G423" s="53"/>
      <c r="P423" s="54"/>
    </row>
    <row r="424">
      <c r="A424" s="45"/>
      <c r="F424" s="52"/>
      <c r="G424" s="53"/>
      <c r="P424" s="54"/>
    </row>
    <row r="425">
      <c r="A425" s="45"/>
      <c r="F425" s="52"/>
      <c r="G425" s="53"/>
      <c r="P425" s="54"/>
    </row>
    <row r="426">
      <c r="A426" s="45"/>
      <c r="F426" s="52"/>
      <c r="G426" s="53"/>
      <c r="P426" s="54"/>
    </row>
    <row r="427">
      <c r="A427" s="45"/>
      <c r="F427" s="52"/>
      <c r="G427" s="53"/>
      <c r="P427" s="54"/>
    </row>
    <row r="428">
      <c r="A428" s="45"/>
      <c r="F428" s="52"/>
      <c r="G428" s="53"/>
      <c r="P428" s="54"/>
    </row>
    <row r="429">
      <c r="A429" s="45"/>
      <c r="F429" s="52"/>
      <c r="G429" s="53"/>
      <c r="P429" s="54"/>
    </row>
    <row r="430">
      <c r="A430" s="45"/>
      <c r="F430" s="52"/>
      <c r="G430" s="53"/>
      <c r="P430" s="54"/>
    </row>
    <row r="431">
      <c r="A431" s="45"/>
      <c r="F431" s="52"/>
      <c r="G431" s="53"/>
      <c r="P431" s="54"/>
    </row>
    <row r="432">
      <c r="A432" s="45"/>
      <c r="F432" s="52"/>
      <c r="G432" s="53"/>
      <c r="P432" s="54"/>
    </row>
    <row r="433">
      <c r="A433" s="45"/>
      <c r="F433" s="52"/>
      <c r="G433" s="53"/>
      <c r="P433" s="54"/>
    </row>
    <row r="434">
      <c r="A434" s="45"/>
      <c r="F434" s="52"/>
      <c r="G434" s="53"/>
      <c r="P434" s="54"/>
    </row>
    <row r="435">
      <c r="A435" s="45"/>
      <c r="F435" s="52"/>
      <c r="G435" s="53"/>
      <c r="P435" s="54"/>
    </row>
    <row r="436">
      <c r="A436" s="45"/>
      <c r="F436" s="52"/>
      <c r="G436" s="53"/>
      <c r="P436" s="54"/>
    </row>
    <row r="437">
      <c r="A437" s="45"/>
      <c r="F437" s="52"/>
      <c r="G437" s="53"/>
      <c r="P437" s="54"/>
    </row>
    <row r="438">
      <c r="A438" s="45"/>
      <c r="F438" s="52"/>
      <c r="G438" s="53"/>
      <c r="P438" s="54"/>
    </row>
    <row r="439">
      <c r="A439" s="45"/>
      <c r="F439" s="52"/>
      <c r="G439" s="53"/>
      <c r="P439" s="54"/>
    </row>
    <row r="440">
      <c r="A440" s="45"/>
      <c r="F440" s="52"/>
      <c r="G440" s="53"/>
      <c r="P440" s="54"/>
    </row>
    <row r="441">
      <c r="A441" s="45"/>
      <c r="F441" s="52"/>
      <c r="G441" s="53"/>
      <c r="P441" s="54"/>
    </row>
    <row r="442">
      <c r="A442" s="45"/>
      <c r="F442" s="52"/>
      <c r="G442" s="53"/>
      <c r="P442" s="54"/>
    </row>
    <row r="443">
      <c r="A443" s="45"/>
      <c r="F443" s="52"/>
      <c r="G443" s="53"/>
      <c r="P443" s="54"/>
    </row>
    <row r="444">
      <c r="A444" s="45"/>
      <c r="F444" s="52"/>
      <c r="G444" s="53"/>
      <c r="P444" s="54"/>
    </row>
    <row r="445">
      <c r="A445" s="45"/>
      <c r="F445" s="52"/>
      <c r="G445" s="53"/>
      <c r="P445" s="54"/>
    </row>
    <row r="446">
      <c r="A446" s="45"/>
      <c r="F446" s="52"/>
      <c r="G446" s="53"/>
      <c r="P446" s="54"/>
    </row>
    <row r="447">
      <c r="A447" s="45"/>
      <c r="F447" s="52"/>
      <c r="G447" s="53"/>
      <c r="P447" s="54"/>
    </row>
    <row r="448">
      <c r="A448" s="45"/>
      <c r="F448" s="52"/>
      <c r="G448" s="53"/>
      <c r="P448" s="54"/>
    </row>
    <row r="449">
      <c r="A449" s="45"/>
      <c r="F449" s="52"/>
      <c r="G449" s="53"/>
      <c r="P449" s="54"/>
    </row>
    <row r="450">
      <c r="A450" s="45"/>
      <c r="F450" s="52"/>
      <c r="G450" s="53"/>
      <c r="P450" s="54"/>
    </row>
    <row r="451">
      <c r="A451" s="45"/>
      <c r="F451" s="52"/>
      <c r="G451" s="53"/>
      <c r="P451" s="54"/>
    </row>
    <row r="452">
      <c r="A452" s="45"/>
      <c r="F452" s="52"/>
      <c r="G452" s="53"/>
      <c r="P452" s="54"/>
    </row>
    <row r="453">
      <c r="A453" s="45"/>
      <c r="F453" s="52"/>
      <c r="G453" s="53"/>
      <c r="P453" s="54"/>
    </row>
    <row r="454">
      <c r="A454" s="45"/>
      <c r="F454" s="52"/>
      <c r="G454" s="53"/>
      <c r="P454" s="54"/>
    </row>
    <row r="455">
      <c r="A455" s="45"/>
      <c r="F455" s="52"/>
      <c r="G455" s="53"/>
      <c r="P455" s="54"/>
    </row>
    <row r="456">
      <c r="A456" s="45"/>
      <c r="F456" s="52"/>
      <c r="G456" s="53"/>
      <c r="P456" s="54"/>
    </row>
    <row r="457">
      <c r="A457" s="45"/>
      <c r="F457" s="52"/>
      <c r="G457" s="53"/>
      <c r="P457" s="54"/>
    </row>
    <row r="458">
      <c r="A458" s="45"/>
      <c r="F458" s="52"/>
      <c r="G458" s="53"/>
      <c r="P458" s="54"/>
    </row>
    <row r="459">
      <c r="A459" s="45"/>
      <c r="F459" s="52"/>
      <c r="G459" s="53"/>
      <c r="P459" s="54"/>
    </row>
    <row r="460">
      <c r="A460" s="45"/>
      <c r="F460" s="52"/>
      <c r="G460" s="53"/>
      <c r="P460" s="54"/>
    </row>
    <row r="461">
      <c r="A461" s="45"/>
      <c r="F461" s="52"/>
      <c r="G461" s="53"/>
      <c r="P461" s="54"/>
    </row>
    <row r="462">
      <c r="A462" s="45"/>
      <c r="F462" s="52"/>
      <c r="G462" s="53"/>
      <c r="P462" s="54"/>
    </row>
    <row r="463">
      <c r="A463" s="45"/>
      <c r="F463" s="52"/>
      <c r="G463" s="53"/>
      <c r="P463" s="54"/>
    </row>
    <row r="464">
      <c r="A464" s="45"/>
      <c r="F464" s="52"/>
      <c r="G464" s="53"/>
      <c r="P464" s="54"/>
    </row>
    <row r="465">
      <c r="A465" s="45"/>
      <c r="F465" s="52"/>
      <c r="G465" s="53"/>
      <c r="P465" s="54"/>
    </row>
    <row r="466">
      <c r="A466" s="45"/>
      <c r="F466" s="52"/>
      <c r="G466" s="53"/>
      <c r="P466" s="54"/>
    </row>
    <row r="467">
      <c r="A467" s="45"/>
      <c r="F467" s="52"/>
      <c r="G467" s="53"/>
      <c r="P467" s="54"/>
    </row>
    <row r="468">
      <c r="A468" s="45"/>
      <c r="F468" s="52"/>
      <c r="G468" s="53"/>
      <c r="P468" s="54"/>
    </row>
    <row r="469">
      <c r="A469" s="45"/>
      <c r="F469" s="52"/>
      <c r="G469" s="53"/>
      <c r="P469" s="54"/>
    </row>
    <row r="470">
      <c r="A470" s="45"/>
      <c r="F470" s="52"/>
      <c r="G470" s="53"/>
      <c r="P470" s="54"/>
    </row>
    <row r="471">
      <c r="A471" s="45"/>
      <c r="F471" s="52"/>
      <c r="G471" s="53"/>
      <c r="P471" s="54"/>
    </row>
    <row r="472">
      <c r="A472" s="45"/>
      <c r="F472" s="52"/>
      <c r="G472" s="53"/>
      <c r="P472" s="54"/>
    </row>
    <row r="473">
      <c r="A473" s="45"/>
      <c r="F473" s="52"/>
      <c r="G473" s="53"/>
      <c r="P473" s="54"/>
    </row>
    <row r="474">
      <c r="A474" s="45"/>
      <c r="F474" s="52"/>
      <c r="G474" s="53"/>
      <c r="P474" s="54"/>
    </row>
    <row r="475">
      <c r="A475" s="45"/>
      <c r="F475" s="52"/>
      <c r="G475" s="53"/>
      <c r="P475" s="54"/>
    </row>
    <row r="476">
      <c r="A476" s="45"/>
      <c r="F476" s="52"/>
      <c r="G476" s="53"/>
      <c r="P476" s="54"/>
    </row>
    <row r="477">
      <c r="A477" s="45"/>
      <c r="F477" s="52"/>
      <c r="G477" s="53"/>
      <c r="P477" s="54"/>
    </row>
    <row r="478">
      <c r="A478" s="45"/>
      <c r="F478" s="52"/>
      <c r="G478" s="53"/>
      <c r="P478" s="54"/>
    </row>
    <row r="479">
      <c r="A479" s="45"/>
      <c r="F479" s="52"/>
      <c r="G479" s="53"/>
      <c r="P479" s="54"/>
    </row>
    <row r="480">
      <c r="A480" s="45"/>
      <c r="F480" s="52"/>
      <c r="G480" s="53"/>
      <c r="P480" s="54"/>
    </row>
    <row r="481">
      <c r="A481" s="45"/>
      <c r="F481" s="52"/>
      <c r="G481" s="53"/>
      <c r="P481" s="54"/>
    </row>
    <row r="482">
      <c r="A482" s="45"/>
      <c r="F482" s="52"/>
      <c r="G482" s="53"/>
      <c r="P482" s="54"/>
    </row>
    <row r="483">
      <c r="A483" s="45"/>
      <c r="F483" s="52"/>
      <c r="G483" s="53"/>
      <c r="P483" s="54"/>
    </row>
    <row r="484">
      <c r="A484" s="45"/>
      <c r="F484" s="52"/>
      <c r="G484" s="53"/>
      <c r="P484" s="54"/>
    </row>
    <row r="485">
      <c r="A485" s="45"/>
      <c r="F485" s="52"/>
      <c r="G485" s="53"/>
      <c r="P485" s="54"/>
    </row>
    <row r="486">
      <c r="A486" s="45"/>
      <c r="F486" s="52"/>
      <c r="G486" s="53"/>
      <c r="P486" s="54"/>
    </row>
    <row r="487">
      <c r="A487" s="45"/>
      <c r="F487" s="52"/>
      <c r="G487" s="53"/>
      <c r="P487" s="54"/>
    </row>
    <row r="488">
      <c r="A488" s="45"/>
      <c r="F488" s="52"/>
      <c r="G488" s="53"/>
      <c r="P488" s="54"/>
    </row>
    <row r="489">
      <c r="A489" s="45"/>
      <c r="F489" s="52"/>
      <c r="G489" s="53"/>
      <c r="P489" s="54"/>
    </row>
    <row r="490">
      <c r="A490" s="45"/>
      <c r="F490" s="52"/>
      <c r="G490" s="53"/>
      <c r="P490" s="54"/>
    </row>
    <row r="491">
      <c r="A491" s="45"/>
      <c r="F491" s="52"/>
      <c r="G491" s="53"/>
      <c r="P491" s="54"/>
    </row>
    <row r="492">
      <c r="A492" s="45"/>
      <c r="F492" s="52"/>
      <c r="G492" s="53"/>
      <c r="P492" s="54"/>
    </row>
    <row r="493">
      <c r="A493" s="45"/>
      <c r="F493" s="52"/>
      <c r="G493" s="53"/>
      <c r="P493" s="54"/>
    </row>
    <row r="494">
      <c r="A494" s="45"/>
      <c r="F494" s="52"/>
      <c r="G494" s="53"/>
      <c r="P494" s="54"/>
    </row>
    <row r="495">
      <c r="A495" s="45"/>
      <c r="F495" s="52"/>
      <c r="G495" s="53"/>
      <c r="P495" s="54"/>
    </row>
    <row r="496">
      <c r="A496" s="45"/>
      <c r="F496" s="52"/>
      <c r="G496" s="53"/>
      <c r="P496" s="54"/>
    </row>
    <row r="497">
      <c r="A497" s="45"/>
      <c r="F497" s="52"/>
      <c r="G497" s="53"/>
      <c r="P497" s="54"/>
    </row>
    <row r="498">
      <c r="A498" s="45"/>
      <c r="F498" s="52"/>
      <c r="G498" s="53"/>
      <c r="P498" s="54"/>
    </row>
    <row r="499">
      <c r="A499" s="45"/>
      <c r="F499" s="52"/>
      <c r="G499" s="53"/>
      <c r="P499" s="54"/>
    </row>
    <row r="500">
      <c r="A500" s="45"/>
      <c r="F500" s="52"/>
      <c r="G500" s="53"/>
      <c r="P500" s="54"/>
    </row>
    <row r="501">
      <c r="A501" s="45"/>
      <c r="F501" s="52"/>
      <c r="G501" s="53"/>
      <c r="P501" s="54"/>
    </row>
    <row r="502">
      <c r="A502" s="45"/>
      <c r="F502" s="52"/>
      <c r="G502" s="53"/>
      <c r="P502" s="54"/>
    </row>
    <row r="503">
      <c r="A503" s="45"/>
      <c r="F503" s="52"/>
      <c r="G503" s="53"/>
      <c r="P503" s="54"/>
    </row>
    <row r="504">
      <c r="A504" s="45"/>
      <c r="F504" s="52"/>
      <c r="G504" s="53"/>
      <c r="P504" s="54"/>
    </row>
    <row r="505">
      <c r="A505" s="45"/>
      <c r="F505" s="52"/>
      <c r="G505" s="53"/>
      <c r="P505" s="54"/>
    </row>
    <row r="506">
      <c r="A506" s="45"/>
      <c r="F506" s="52"/>
      <c r="G506" s="53"/>
      <c r="P506" s="54"/>
    </row>
    <row r="507">
      <c r="A507" s="45"/>
      <c r="F507" s="52"/>
      <c r="G507" s="53"/>
      <c r="P507" s="54"/>
    </row>
    <row r="508">
      <c r="A508" s="45"/>
      <c r="F508" s="52"/>
      <c r="G508" s="53"/>
      <c r="P508" s="54"/>
    </row>
    <row r="509">
      <c r="A509" s="45"/>
      <c r="F509" s="52"/>
      <c r="G509" s="53"/>
      <c r="P509" s="54"/>
    </row>
    <row r="510">
      <c r="A510" s="45"/>
      <c r="F510" s="52"/>
      <c r="G510" s="53"/>
      <c r="P510" s="54"/>
    </row>
    <row r="511">
      <c r="A511" s="45"/>
      <c r="F511" s="52"/>
      <c r="G511" s="53"/>
      <c r="P511" s="54"/>
    </row>
    <row r="512">
      <c r="A512" s="45"/>
      <c r="F512" s="52"/>
      <c r="G512" s="53"/>
      <c r="P512" s="54"/>
    </row>
    <row r="513">
      <c r="A513" s="45"/>
      <c r="F513" s="52"/>
      <c r="G513" s="53"/>
      <c r="P513" s="54"/>
    </row>
    <row r="514">
      <c r="A514" s="45"/>
      <c r="F514" s="52"/>
      <c r="G514" s="53"/>
      <c r="P514" s="54"/>
    </row>
    <row r="515">
      <c r="A515" s="45"/>
      <c r="F515" s="52"/>
      <c r="G515" s="53"/>
      <c r="P515" s="54"/>
    </row>
    <row r="516">
      <c r="A516" s="45"/>
      <c r="F516" s="52"/>
      <c r="G516" s="53"/>
      <c r="P516" s="54"/>
    </row>
    <row r="517">
      <c r="A517" s="45"/>
      <c r="F517" s="52"/>
      <c r="G517" s="53"/>
      <c r="P517" s="54"/>
    </row>
    <row r="518">
      <c r="A518" s="45"/>
      <c r="F518" s="52"/>
      <c r="G518" s="53"/>
      <c r="P518" s="54"/>
    </row>
    <row r="519">
      <c r="A519" s="45"/>
      <c r="F519" s="52"/>
      <c r="G519" s="53"/>
      <c r="P519" s="54"/>
    </row>
    <row r="520">
      <c r="A520" s="45"/>
      <c r="F520" s="52"/>
      <c r="G520" s="53"/>
      <c r="P520" s="54"/>
    </row>
    <row r="521">
      <c r="A521" s="45"/>
      <c r="F521" s="52"/>
      <c r="G521" s="53"/>
      <c r="P521" s="54"/>
    </row>
    <row r="522">
      <c r="A522" s="45"/>
      <c r="F522" s="52"/>
      <c r="G522" s="53"/>
      <c r="P522" s="54"/>
    </row>
    <row r="523">
      <c r="A523" s="45"/>
      <c r="F523" s="52"/>
      <c r="G523" s="53"/>
      <c r="P523" s="54"/>
    </row>
    <row r="524">
      <c r="A524" s="45"/>
      <c r="F524" s="52"/>
      <c r="G524" s="53"/>
      <c r="P524" s="54"/>
    </row>
    <row r="525">
      <c r="A525" s="45"/>
      <c r="F525" s="52"/>
      <c r="G525" s="53"/>
      <c r="P525" s="54"/>
    </row>
    <row r="526">
      <c r="A526" s="45"/>
      <c r="F526" s="52"/>
      <c r="G526" s="53"/>
      <c r="P526" s="54"/>
    </row>
    <row r="527">
      <c r="A527" s="45"/>
      <c r="F527" s="52"/>
      <c r="G527" s="53"/>
      <c r="P527" s="54"/>
    </row>
    <row r="528">
      <c r="A528" s="45"/>
      <c r="F528" s="52"/>
      <c r="G528" s="53"/>
      <c r="P528" s="54"/>
    </row>
    <row r="529">
      <c r="A529" s="45"/>
      <c r="F529" s="52"/>
      <c r="G529" s="53"/>
      <c r="P529" s="54"/>
    </row>
    <row r="530">
      <c r="A530" s="45"/>
      <c r="F530" s="52"/>
      <c r="G530" s="53"/>
      <c r="P530" s="54"/>
    </row>
    <row r="531">
      <c r="A531" s="45"/>
      <c r="F531" s="52"/>
      <c r="G531" s="53"/>
      <c r="P531" s="54"/>
    </row>
    <row r="532">
      <c r="A532" s="45"/>
      <c r="F532" s="52"/>
      <c r="G532" s="53"/>
      <c r="P532" s="54"/>
    </row>
    <row r="533">
      <c r="A533" s="45"/>
      <c r="F533" s="52"/>
      <c r="G533" s="53"/>
      <c r="P533" s="54"/>
    </row>
    <row r="534">
      <c r="A534" s="45"/>
      <c r="F534" s="52"/>
      <c r="G534" s="53"/>
      <c r="P534" s="54"/>
    </row>
    <row r="535">
      <c r="A535" s="45"/>
      <c r="F535" s="52"/>
      <c r="G535" s="53"/>
      <c r="P535" s="54"/>
    </row>
    <row r="536">
      <c r="A536" s="45"/>
      <c r="F536" s="52"/>
      <c r="G536" s="53"/>
      <c r="P536" s="54"/>
    </row>
    <row r="537">
      <c r="A537" s="45"/>
      <c r="F537" s="52"/>
      <c r="G537" s="53"/>
      <c r="P537" s="54"/>
    </row>
    <row r="538">
      <c r="A538" s="45"/>
      <c r="F538" s="52"/>
      <c r="G538" s="53"/>
      <c r="P538" s="54"/>
    </row>
    <row r="539">
      <c r="A539" s="45"/>
      <c r="F539" s="52"/>
      <c r="G539" s="53"/>
      <c r="P539" s="54"/>
    </row>
    <row r="540">
      <c r="A540" s="45"/>
      <c r="F540" s="52"/>
      <c r="G540" s="53"/>
      <c r="P540" s="54"/>
    </row>
    <row r="541">
      <c r="A541" s="45"/>
      <c r="F541" s="52"/>
      <c r="G541" s="53"/>
      <c r="P541" s="54"/>
    </row>
    <row r="542">
      <c r="A542" s="45"/>
      <c r="F542" s="52"/>
      <c r="G542" s="53"/>
      <c r="P542" s="54"/>
    </row>
    <row r="543">
      <c r="A543" s="45"/>
      <c r="F543" s="52"/>
      <c r="G543" s="53"/>
      <c r="P543" s="54"/>
    </row>
    <row r="544">
      <c r="A544" s="45"/>
      <c r="F544" s="52"/>
      <c r="G544" s="53"/>
      <c r="P544" s="54"/>
    </row>
    <row r="545">
      <c r="A545" s="45"/>
      <c r="F545" s="52"/>
      <c r="G545" s="53"/>
      <c r="P545" s="54"/>
    </row>
    <row r="546">
      <c r="A546" s="45"/>
      <c r="F546" s="52"/>
      <c r="G546" s="53"/>
      <c r="P546" s="54"/>
    </row>
    <row r="547">
      <c r="A547" s="45"/>
      <c r="F547" s="52"/>
      <c r="G547" s="53"/>
      <c r="P547" s="54"/>
    </row>
    <row r="548">
      <c r="A548" s="45"/>
      <c r="F548" s="52"/>
      <c r="G548" s="53"/>
      <c r="P548" s="54"/>
    </row>
    <row r="549">
      <c r="A549" s="45"/>
      <c r="F549" s="52"/>
      <c r="G549" s="53"/>
      <c r="P549" s="54"/>
    </row>
    <row r="550">
      <c r="A550" s="45"/>
      <c r="F550" s="52"/>
      <c r="G550" s="53"/>
      <c r="P550" s="54"/>
    </row>
    <row r="551">
      <c r="A551" s="45"/>
      <c r="F551" s="52"/>
      <c r="G551" s="53"/>
      <c r="P551" s="54"/>
    </row>
    <row r="552">
      <c r="A552" s="45"/>
      <c r="F552" s="52"/>
      <c r="G552" s="53"/>
      <c r="P552" s="54"/>
    </row>
    <row r="553">
      <c r="A553" s="45"/>
      <c r="F553" s="52"/>
      <c r="G553" s="53"/>
      <c r="P553" s="54"/>
    </row>
    <row r="554">
      <c r="A554" s="45"/>
      <c r="F554" s="52"/>
      <c r="G554" s="53"/>
      <c r="P554" s="54"/>
    </row>
    <row r="555">
      <c r="A555" s="45"/>
      <c r="F555" s="52"/>
      <c r="G555" s="53"/>
      <c r="P555" s="54"/>
    </row>
    <row r="556">
      <c r="A556" s="45"/>
      <c r="F556" s="52"/>
      <c r="G556" s="53"/>
      <c r="P556" s="54"/>
    </row>
    <row r="557">
      <c r="A557" s="45"/>
      <c r="F557" s="52"/>
      <c r="G557" s="53"/>
      <c r="P557" s="54"/>
    </row>
    <row r="558">
      <c r="A558" s="45"/>
      <c r="F558" s="52"/>
      <c r="G558" s="53"/>
      <c r="P558" s="54"/>
    </row>
    <row r="559">
      <c r="A559" s="45"/>
      <c r="F559" s="52"/>
      <c r="G559" s="53"/>
      <c r="P559" s="54"/>
    </row>
    <row r="560">
      <c r="A560" s="45"/>
      <c r="F560" s="52"/>
      <c r="G560" s="53"/>
      <c r="P560" s="54"/>
    </row>
    <row r="561">
      <c r="A561" s="45"/>
      <c r="F561" s="52"/>
      <c r="G561" s="53"/>
      <c r="P561" s="54"/>
    </row>
    <row r="562">
      <c r="A562" s="45"/>
      <c r="F562" s="52"/>
      <c r="G562" s="53"/>
      <c r="P562" s="54"/>
    </row>
    <row r="563">
      <c r="A563" s="45"/>
      <c r="F563" s="52"/>
      <c r="G563" s="53"/>
      <c r="P563" s="54"/>
    </row>
    <row r="564">
      <c r="A564" s="45"/>
      <c r="F564" s="52"/>
      <c r="G564" s="53"/>
      <c r="P564" s="54"/>
    </row>
    <row r="565">
      <c r="A565" s="45"/>
      <c r="F565" s="52"/>
      <c r="G565" s="53"/>
      <c r="P565" s="54"/>
    </row>
    <row r="566">
      <c r="A566" s="45"/>
      <c r="F566" s="52"/>
      <c r="G566" s="53"/>
      <c r="P566" s="54"/>
    </row>
    <row r="567">
      <c r="A567" s="45"/>
      <c r="F567" s="52"/>
      <c r="G567" s="53"/>
      <c r="P567" s="54"/>
    </row>
    <row r="568">
      <c r="A568" s="45"/>
      <c r="F568" s="52"/>
      <c r="G568" s="53"/>
      <c r="P568" s="54"/>
    </row>
    <row r="569">
      <c r="A569" s="45"/>
      <c r="F569" s="52"/>
      <c r="G569" s="53"/>
      <c r="P569" s="54"/>
    </row>
    <row r="570">
      <c r="A570" s="45"/>
      <c r="F570" s="52"/>
      <c r="G570" s="53"/>
      <c r="P570" s="54"/>
    </row>
    <row r="571">
      <c r="A571" s="45"/>
      <c r="F571" s="52"/>
      <c r="G571" s="53"/>
      <c r="P571" s="54"/>
    </row>
    <row r="572">
      <c r="A572" s="45"/>
      <c r="F572" s="52"/>
      <c r="G572" s="53"/>
      <c r="P572" s="54"/>
    </row>
    <row r="573">
      <c r="A573" s="45"/>
      <c r="F573" s="52"/>
      <c r="G573" s="53"/>
      <c r="P573" s="54"/>
    </row>
    <row r="574">
      <c r="A574" s="45"/>
      <c r="F574" s="52"/>
      <c r="G574" s="53"/>
      <c r="P574" s="54"/>
    </row>
    <row r="575">
      <c r="A575" s="45"/>
      <c r="F575" s="52"/>
      <c r="G575" s="53"/>
      <c r="P575" s="54"/>
    </row>
    <row r="576">
      <c r="A576" s="45"/>
      <c r="F576" s="52"/>
      <c r="G576" s="53"/>
      <c r="P576" s="54"/>
    </row>
    <row r="577">
      <c r="A577" s="45"/>
      <c r="F577" s="52"/>
      <c r="G577" s="53"/>
      <c r="P577" s="54"/>
    </row>
    <row r="578">
      <c r="A578" s="45"/>
      <c r="F578" s="52"/>
      <c r="G578" s="53"/>
      <c r="P578" s="54"/>
    </row>
    <row r="579">
      <c r="A579" s="45"/>
      <c r="F579" s="52"/>
      <c r="G579" s="53"/>
      <c r="P579" s="54"/>
    </row>
    <row r="580">
      <c r="A580" s="45"/>
      <c r="F580" s="52"/>
      <c r="G580" s="53"/>
      <c r="P580" s="54"/>
    </row>
    <row r="581">
      <c r="A581" s="45"/>
      <c r="F581" s="52"/>
      <c r="G581" s="53"/>
      <c r="P581" s="54"/>
    </row>
    <row r="582">
      <c r="A582" s="45"/>
      <c r="F582" s="52"/>
      <c r="G582" s="53"/>
      <c r="P582" s="54"/>
    </row>
    <row r="583">
      <c r="A583" s="45"/>
      <c r="F583" s="52"/>
      <c r="G583" s="53"/>
      <c r="P583" s="54"/>
    </row>
    <row r="584">
      <c r="A584" s="45"/>
      <c r="F584" s="52"/>
      <c r="G584" s="53"/>
      <c r="P584" s="54"/>
    </row>
    <row r="585">
      <c r="A585" s="45"/>
      <c r="F585" s="52"/>
      <c r="G585" s="53"/>
      <c r="P585" s="54"/>
    </row>
    <row r="586">
      <c r="A586" s="45"/>
      <c r="F586" s="52"/>
      <c r="G586" s="53"/>
      <c r="P586" s="54"/>
    </row>
    <row r="587">
      <c r="A587" s="45"/>
      <c r="F587" s="52"/>
      <c r="G587" s="53"/>
      <c r="P587" s="54"/>
    </row>
    <row r="588">
      <c r="A588" s="45"/>
      <c r="F588" s="52"/>
      <c r="G588" s="53"/>
      <c r="P588" s="54"/>
    </row>
    <row r="589">
      <c r="A589" s="45"/>
      <c r="F589" s="52"/>
      <c r="G589" s="53"/>
      <c r="P589" s="54"/>
    </row>
    <row r="590">
      <c r="A590" s="45"/>
      <c r="F590" s="52"/>
      <c r="G590" s="53"/>
      <c r="P590" s="54"/>
    </row>
    <row r="591">
      <c r="A591" s="45"/>
      <c r="F591" s="52"/>
      <c r="G591" s="53"/>
      <c r="P591" s="54"/>
    </row>
    <row r="592">
      <c r="A592" s="45"/>
      <c r="F592" s="52"/>
      <c r="G592" s="53"/>
      <c r="P592" s="54"/>
    </row>
    <row r="593">
      <c r="A593" s="45"/>
      <c r="F593" s="52"/>
      <c r="G593" s="53"/>
      <c r="P593" s="54"/>
    </row>
    <row r="594">
      <c r="A594" s="45"/>
      <c r="F594" s="52"/>
      <c r="G594" s="53"/>
      <c r="P594" s="54"/>
    </row>
    <row r="595">
      <c r="A595" s="45"/>
      <c r="F595" s="52"/>
      <c r="G595" s="53"/>
      <c r="P595" s="54"/>
    </row>
    <row r="596">
      <c r="A596" s="45"/>
      <c r="F596" s="52"/>
      <c r="G596" s="53"/>
      <c r="P596" s="54"/>
    </row>
    <row r="597">
      <c r="A597" s="45"/>
      <c r="F597" s="52"/>
      <c r="G597" s="53"/>
      <c r="P597" s="54"/>
    </row>
    <row r="598">
      <c r="A598" s="45"/>
      <c r="F598" s="52"/>
      <c r="G598" s="53"/>
      <c r="P598" s="54"/>
    </row>
    <row r="599">
      <c r="A599" s="45"/>
      <c r="F599" s="52"/>
      <c r="G599" s="53"/>
      <c r="P599" s="54"/>
    </row>
    <row r="600">
      <c r="A600" s="45"/>
      <c r="F600" s="52"/>
      <c r="G600" s="53"/>
      <c r="P600" s="54"/>
    </row>
    <row r="601">
      <c r="A601" s="45"/>
      <c r="F601" s="52"/>
      <c r="G601" s="53"/>
      <c r="P601" s="54"/>
    </row>
    <row r="602">
      <c r="A602" s="45"/>
      <c r="F602" s="52"/>
      <c r="G602" s="53"/>
      <c r="P602" s="54"/>
    </row>
    <row r="603">
      <c r="A603" s="45"/>
      <c r="F603" s="52"/>
      <c r="G603" s="53"/>
      <c r="P603" s="54"/>
    </row>
    <row r="604">
      <c r="A604" s="45"/>
      <c r="F604" s="52"/>
      <c r="G604" s="53"/>
      <c r="P604" s="54"/>
    </row>
    <row r="605">
      <c r="A605" s="45"/>
      <c r="F605" s="52"/>
      <c r="G605" s="53"/>
      <c r="P605" s="54"/>
    </row>
    <row r="606">
      <c r="A606" s="45"/>
      <c r="F606" s="52"/>
      <c r="G606" s="53"/>
      <c r="P606" s="54"/>
    </row>
    <row r="607">
      <c r="A607" s="45"/>
      <c r="F607" s="52"/>
      <c r="G607" s="53"/>
      <c r="P607" s="54"/>
    </row>
    <row r="608">
      <c r="A608" s="45"/>
      <c r="F608" s="52"/>
      <c r="G608" s="53"/>
      <c r="P608" s="54"/>
    </row>
    <row r="609">
      <c r="A609" s="45"/>
      <c r="F609" s="52"/>
      <c r="G609" s="53"/>
      <c r="P609" s="54"/>
    </row>
    <row r="610">
      <c r="A610" s="45"/>
      <c r="F610" s="52"/>
      <c r="G610" s="53"/>
      <c r="P610" s="54"/>
    </row>
    <row r="611">
      <c r="A611" s="45"/>
      <c r="F611" s="52"/>
      <c r="G611" s="53"/>
      <c r="P611" s="54"/>
    </row>
    <row r="612">
      <c r="A612" s="45"/>
      <c r="F612" s="52"/>
      <c r="G612" s="53"/>
      <c r="P612" s="54"/>
    </row>
    <row r="613">
      <c r="A613" s="45"/>
      <c r="F613" s="52"/>
      <c r="G613" s="53"/>
      <c r="P613" s="54"/>
    </row>
    <row r="614">
      <c r="A614" s="45"/>
      <c r="F614" s="52"/>
      <c r="G614" s="53"/>
      <c r="P614" s="54"/>
    </row>
    <row r="615">
      <c r="A615" s="45"/>
      <c r="F615" s="52"/>
      <c r="G615" s="53"/>
      <c r="P615" s="54"/>
    </row>
    <row r="616">
      <c r="A616" s="45"/>
      <c r="F616" s="52"/>
      <c r="G616" s="53"/>
      <c r="P616" s="54"/>
    </row>
    <row r="617">
      <c r="A617" s="45"/>
      <c r="F617" s="52"/>
      <c r="G617" s="53"/>
      <c r="P617" s="54"/>
    </row>
    <row r="618">
      <c r="A618" s="45"/>
      <c r="F618" s="52"/>
      <c r="G618" s="53"/>
      <c r="P618" s="54"/>
    </row>
    <row r="619">
      <c r="A619" s="45"/>
      <c r="F619" s="52"/>
      <c r="G619" s="53"/>
      <c r="P619" s="54"/>
    </row>
    <row r="620">
      <c r="A620" s="45"/>
      <c r="F620" s="52"/>
      <c r="G620" s="53"/>
      <c r="P620" s="54"/>
    </row>
    <row r="621">
      <c r="A621" s="45"/>
      <c r="F621" s="52"/>
      <c r="G621" s="53"/>
      <c r="P621" s="54"/>
    </row>
    <row r="622">
      <c r="A622" s="45"/>
      <c r="F622" s="52"/>
      <c r="G622" s="53"/>
      <c r="P622" s="54"/>
    </row>
    <row r="623">
      <c r="A623" s="45"/>
      <c r="F623" s="52"/>
      <c r="G623" s="53"/>
      <c r="P623" s="54"/>
    </row>
    <row r="624">
      <c r="A624" s="45"/>
      <c r="F624" s="52"/>
      <c r="G624" s="53"/>
      <c r="P624" s="54"/>
    </row>
    <row r="625">
      <c r="A625" s="45"/>
      <c r="F625" s="52"/>
      <c r="G625" s="53"/>
      <c r="P625" s="54"/>
    </row>
    <row r="626">
      <c r="A626" s="45"/>
      <c r="F626" s="52"/>
      <c r="G626" s="53"/>
      <c r="P626" s="54"/>
    </row>
    <row r="627">
      <c r="A627" s="45"/>
      <c r="F627" s="52"/>
      <c r="G627" s="53"/>
      <c r="P627" s="54"/>
    </row>
    <row r="628">
      <c r="A628" s="45"/>
      <c r="F628" s="52"/>
      <c r="G628" s="53"/>
      <c r="P628" s="54"/>
    </row>
    <row r="629">
      <c r="A629" s="45"/>
      <c r="F629" s="52"/>
      <c r="G629" s="53"/>
      <c r="P629" s="54"/>
    </row>
    <row r="630">
      <c r="A630" s="45"/>
      <c r="F630" s="52"/>
      <c r="G630" s="53"/>
      <c r="P630" s="54"/>
    </row>
    <row r="631">
      <c r="A631" s="45"/>
      <c r="F631" s="52"/>
      <c r="G631" s="53"/>
      <c r="P631" s="54"/>
    </row>
    <row r="632">
      <c r="A632" s="45"/>
      <c r="F632" s="52"/>
      <c r="G632" s="53"/>
      <c r="P632" s="54"/>
    </row>
    <row r="633">
      <c r="A633" s="45"/>
      <c r="F633" s="52"/>
      <c r="G633" s="53"/>
      <c r="P633" s="54"/>
    </row>
    <row r="634">
      <c r="A634" s="45"/>
      <c r="F634" s="52"/>
      <c r="G634" s="53"/>
      <c r="P634" s="54"/>
    </row>
    <row r="635">
      <c r="A635" s="45"/>
      <c r="F635" s="52"/>
      <c r="G635" s="53"/>
      <c r="P635" s="54"/>
    </row>
    <row r="636">
      <c r="A636" s="45"/>
      <c r="F636" s="52"/>
      <c r="G636" s="53"/>
      <c r="P636" s="54"/>
    </row>
    <row r="637">
      <c r="A637" s="45"/>
      <c r="F637" s="52"/>
      <c r="G637" s="53"/>
      <c r="P637" s="54"/>
    </row>
    <row r="638">
      <c r="A638" s="45"/>
      <c r="F638" s="52"/>
      <c r="G638" s="53"/>
      <c r="P638" s="54"/>
    </row>
    <row r="639">
      <c r="A639" s="45"/>
      <c r="F639" s="52"/>
      <c r="G639" s="53"/>
      <c r="P639" s="54"/>
    </row>
    <row r="640">
      <c r="A640" s="45"/>
      <c r="F640" s="52"/>
      <c r="G640" s="53"/>
      <c r="P640" s="54"/>
    </row>
    <row r="641">
      <c r="A641" s="45"/>
      <c r="F641" s="52"/>
      <c r="G641" s="53"/>
      <c r="P641" s="54"/>
    </row>
    <row r="642">
      <c r="A642" s="45"/>
      <c r="F642" s="52"/>
      <c r="G642" s="53"/>
      <c r="P642" s="54"/>
    </row>
    <row r="643">
      <c r="A643" s="45"/>
      <c r="F643" s="52"/>
      <c r="G643" s="53"/>
      <c r="P643" s="54"/>
    </row>
    <row r="644">
      <c r="A644" s="45"/>
      <c r="F644" s="52"/>
      <c r="G644" s="53"/>
      <c r="P644" s="54"/>
    </row>
    <row r="645">
      <c r="A645" s="45"/>
      <c r="F645" s="52"/>
      <c r="G645" s="53"/>
      <c r="P645" s="54"/>
    </row>
    <row r="646">
      <c r="A646" s="45"/>
      <c r="F646" s="52"/>
      <c r="G646" s="53"/>
      <c r="P646" s="54"/>
    </row>
    <row r="647">
      <c r="A647" s="45"/>
      <c r="F647" s="52"/>
      <c r="G647" s="53"/>
      <c r="P647" s="54"/>
    </row>
    <row r="648">
      <c r="A648" s="45"/>
      <c r="F648" s="52"/>
      <c r="G648" s="53"/>
      <c r="P648" s="54"/>
    </row>
    <row r="649">
      <c r="A649" s="45"/>
      <c r="F649" s="52"/>
      <c r="G649" s="53"/>
      <c r="P649" s="54"/>
    </row>
    <row r="650">
      <c r="A650" s="45"/>
      <c r="F650" s="52"/>
      <c r="G650" s="53"/>
      <c r="P650" s="54"/>
    </row>
    <row r="651">
      <c r="A651" s="45"/>
      <c r="F651" s="52"/>
      <c r="G651" s="53"/>
      <c r="P651" s="54"/>
    </row>
    <row r="652">
      <c r="A652" s="45"/>
      <c r="F652" s="52"/>
      <c r="G652" s="53"/>
      <c r="P652" s="54"/>
    </row>
    <row r="653">
      <c r="A653" s="45"/>
      <c r="F653" s="52"/>
      <c r="G653" s="53"/>
      <c r="P653" s="54"/>
    </row>
    <row r="654">
      <c r="A654" s="45"/>
      <c r="F654" s="52"/>
      <c r="G654" s="53"/>
      <c r="P654" s="54"/>
    </row>
    <row r="655">
      <c r="A655" s="45"/>
      <c r="F655" s="52"/>
      <c r="G655" s="53"/>
      <c r="P655" s="54"/>
    </row>
    <row r="656">
      <c r="A656" s="45"/>
      <c r="F656" s="52"/>
      <c r="G656" s="53"/>
      <c r="P656" s="54"/>
    </row>
    <row r="657">
      <c r="A657" s="45"/>
      <c r="F657" s="52"/>
      <c r="G657" s="53"/>
      <c r="P657" s="54"/>
    </row>
    <row r="658">
      <c r="A658" s="45"/>
      <c r="F658" s="52"/>
      <c r="G658" s="53"/>
      <c r="P658" s="54"/>
    </row>
    <row r="659">
      <c r="A659" s="45"/>
      <c r="F659" s="52"/>
      <c r="G659" s="53"/>
      <c r="P659" s="54"/>
    </row>
    <row r="660">
      <c r="A660" s="45"/>
      <c r="F660" s="52"/>
      <c r="G660" s="53"/>
      <c r="P660" s="54"/>
    </row>
    <row r="661">
      <c r="A661" s="45"/>
      <c r="F661" s="52"/>
      <c r="G661" s="53"/>
      <c r="P661" s="54"/>
    </row>
    <row r="662">
      <c r="A662" s="45"/>
      <c r="F662" s="52"/>
      <c r="G662" s="53"/>
      <c r="P662" s="54"/>
    </row>
    <row r="663">
      <c r="A663" s="45"/>
      <c r="F663" s="52"/>
      <c r="G663" s="53"/>
      <c r="P663" s="54"/>
    </row>
    <row r="664">
      <c r="A664" s="45"/>
      <c r="F664" s="52"/>
      <c r="G664" s="53"/>
      <c r="P664" s="54"/>
    </row>
    <row r="665">
      <c r="A665" s="45"/>
      <c r="F665" s="52"/>
      <c r="G665" s="53"/>
      <c r="P665" s="54"/>
    </row>
    <row r="666">
      <c r="A666" s="45"/>
      <c r="F666" s="52"/>
      <c r="G666" s="53"/>
      <c r="P666" s="54"/>
    </row>
    <row r="667">
      <c r="A667" s="45"/>
      <c r="F667" s="52"/>
      <c r="G667" s="53"/>
      <c r="P667" s="54"/>
    </row>
    <row r="668">
      <c r="A668" s="45"/>
      <c r="F668" s="52"/>
      <c r="G668" s="53"/>
      <c r="P668" s="54"/>
    </row>
    <row r="669">
      <c r="A669" s="45"/>
      <c r="F669" s="52"/>
      <c r="G669" s="53"/>
      <c r="P669" s="54"/>
    </row>
    <row r="670">
      <c r="A670" s="45"/>
      <c r="F670" s="52"/>
      <c r="G670" s="53"/>
      <c r="P670" s="54"/>
    </row>
    <row r="671">
      <c r="A671" s="45"/>
      <c r="F671" s="52"/>
      <c r="G671" s="53"/>
      <c r="P671" s="54"/>
    </row>
    <row r="672">
      <c r="A672" s="45"/>
      <c r="F672" s="52"/>
      <c r="G672" s="53"/>
      <c r="P672" s="54"/>
    </row>
    <row r="673">
      <c r="A673" s="45"/>
      <c r="F673" s="52"/>
      <c r="G673" s="53"/>
      <c r="P673" s="54"/>
    </row>
    <row r="674">
      <c r="A674" s="45"/>
      <c r="F674" s="52"/>
      <c r="G674" s="53"/>
      <c r="P674" s="54"/>
    </row>
    <row r="675">
      <c r="A675" s="45"/>
      <c r="F675" s="52"/>
      <c r="G675" s="53"/>
      <c r="P675" s="54"/>
    </row>
    <row r="676">
      <c r="A676" s="45"/>
      <c r="F676" s="52"/>
      <c r="G676" s="53"/>
      <c r="P676" s="54"/>
    </row>
    <row r="677">
      <c r="A677" s="45"/>
      <c r="F677" s="52"/>
      <c r="G677" s="53"/>
      <c r="P677" s="54"/>
    </row>
    <row r="678">
      <c r="A678" s="45"/>
      <c r="F678" s="52"/>
      <c r="G678" s="53"/>
      <c r="P678" s="54"/>
    </row>
    <row r="679">
      <c r="A679" s="45"/>
      <c r="F679" s="52"/>
      <c r="G679" s="53"/>
      <c r="P679" s="54"/>
    </row>
    <row r="680">
      <c r="A680" s="45"/>
      <c r="F680" s="52"/>
      <c r="G680" s="53"/>
      <c r="P680" s="54"/>
    </row>
    <row r="681">
      <c r="A681" s="45"/>
      <c r="F681" s="52"/>
      <c r="G681" s="53"/>
      <c r="P681" s="54"/>
    </row>
    <row r="682">
      <c r="A682" s="45"/>
      <c r="F682" s="52"/>
      <c r="G682" s="53"/>
      <c r="P682" s="54"/>
    </row>
    <row r="683">
      <c r="A683" s="45"/>
      <c r="F683" s="52"/>
      <c r="G683" s="53"/>
      <c r="P683" s="54"/>
    </row>
    <row r="684">
      <c r="A684" s="45"/>
      <c r="F684" s="52"/>
      <c r="G684" s="53"/>
      <c r="P684" s="54"/>
    </row>
    <row r="685">
      <c r="A685" s="45"/>
      <c r="F685" s="52"/>
      <c r="G685" s="53"/>
      <c r="P685" s="54"/>
    </row>
    <row r="686">
      <c r="A686" s="45"/>
      <c r="F686" s="52"/>
      <c r="G686" s="53"/>
      <c r="P686" s="54"/>
    </row>
    <row r="687">
      <c r="A687" s="45"/>
      <c r="F687" s="52"/>
      <c r="G687" s="53"/>
      <c r="P687" s="54"/>
    </row>
    <row r="688">
      <c r="A688" s="45"/>
      <c r="F688" s="52"/>
      <c r="G688" s="53"/>
      <c r="P688" s="54"/>
    </row>
    <row r="689">
      <c r="A689" s="45"/>
      <c r="F689" s="52"/>
      <c r="G689" s="53"/>
      <c r="P689" s="54"/>
    </row>
    <row r="690">
      <c r="A690" s="45"/>
      <c r="F690" s="52"/>
      <c r="G690" s="53"/>
      <c r="P690" s="54"/>
    </row>
    <row r="691">
      <c r="A691" s="45"/>
      <c r="F691" s="52"/>
      <c r="G691" s="53"/>
      <c r="P691" s="54"/>
    </row>
    <row r="692">
      <c r="A692" s="45"/>
      <c r="F692" s="52"/>
      <c r="G692" s="53"/>
      <c r="P692" s="54"/>
    </row>
    <row r="693">
      <c r="A693" s="45"/>
      <c r="F693" s="52"/>
      <c r="G693" s="53"/>
      <c r="P693" s="54"/>
    </row>
    <row r="694">
      <c r="A694" s="45"/>
      <c r="F694" s="52"/>
      <c r="G694" s="53"/>
      <c r="P694" s="54"/>
    </row>
    <row r="695">
      <c r="A695" s="45"/>
      <c r="F695" s="52"/>
      <c r="G695" s="53"/>
      <c r="P695" s="54"/>
    </row>
    <row r="696">
      <c r="A696" s="45"/>
      <c r="F696" s="52"/>
      <c r="G696" s="53"/>
      <c r="P696" s="54"/>
    </row>
    <row r="697">
      <c r="A697" s="45"/>
      <c r="F697" s="52"/>
      <c r="G697" s="53"/>
      <c r="P697" s="54"/>
    </row>
    <row r="698">
      <c r="A698" s="45"/>
      <c r="F698" s="52"/>
      <c r="G698" s="53"/>
      <c r="P698" s="54"/>
    </row>
    <row r="699">
      <c r="A699" s="45"/>
      <c r="F699" s="52"/>
      <c r="G699" s="53"/>
      <c r="P699" s="54"/>
    </row>
    <row r="700">
      <c r="A700" s="45"/>
      <c r="F700" s="52"/>
      <c r="G700" s="53"/>
      <c r="P700" s="54"/>
    </row>
    <row r="701">
      <c r="A701" s="45"/>
      <c r="F701" s="52"/>
      <c r="G701" s="53"/>
      <c r="P701" s="54"/>
    </row>
    <row r="702">
      <c r="A702" s="45"/>
      <c r="F702" s="52"/>
      <c r="G702" s="53"/>
      <c r="P702" s="54"/>
    </row>
    <row r="703">
      <c r="A703" s="45"/>
      <c r="F703" s="52"/>
      <c r="G703" s="53"/>
      <c r="P703" s="54"/>
    </row>
    <row r="704">
      <c r="A704" s="45"/>
      <c r="F704" s="52"/>
      <c r="G704" s="53"/>
      <c r="P704" s="54"/>
    </row>
    <row r="705">
      <c r="A705" s="45"/>
      <c r="F705" s="52"/>
      <c r="G705" s="53"/>
      <c r="P705" s="54"/>
    </row>
    <row r="706">
      <c r="A706" s="45"/>
      <c r="F706" s="52"/>
      <c r="G706" s="53"/>
      <c r="P706" s="54"/>
    </row>
    <row r="707">
      <c r="A707" s="45"/>
      <c r="F707" s="52"/>
      <c r="G707" s="53"/>
      <c r="P707" s="54"/>
    </row>
    <row r="708">
      <c r="A708" s="45"/>
      <c r="F708" s="52"/>
      <c r="G708" s="53"/>
      <c r="P708" s="54"/>
    </row>
    <row r="709">
      <c r="A709" s="45"/>
      <c r="F709" s="52"/>
      <c r="G709" s="53"/>
      <c r="P709" s="54"/>
    </row>
    <row r="710">
      <c r="A710" s="45"/>
      <c r="F710" s="52"/>
      <c r="G710" s="53"/>
      <c r="P710" s="54"/>
    </row>
    <row r="711">
      <c r="A711" s="45"/>
      <c r="F711" s="52"/>
      <c r="G711" s="53"/>
      <c r="P711" s="54"/>
    </row>
    <row r="712">
      <c r="A712" s="45"/>
      <c r="F712" s="52"/>
      <c r="G712" s="53"/>
      <c r="P712" s="54"/>
    </row>
    <row r="713">
      <c r="A713" s="45"/>
      <c r="F713" s="52"/>
      <c r="G713" s="53"/>
      <c r="P713" s="54"/>
    </row>
    <row r="714">
      <c r="A714" s="45"/>
      <c r="F714" s="52"/>
      <c r="G714" s="53"/>
      <c r="P714" s="54"/>
    </row>
    <row r="715">
      <c r="A715" s="45"/>
      <c r="F715" s="52"/>
      <c r="G715" s="53"/>
      <c r="P715" s="54"/>
    </row>
    <row r="716">
      <c r="A716" s="45"/>
      <c r="F716" s="52"/>
      <c r="G716" s="53"/>
      <c r="P716" s="54"/>
    </row>
    <row r="717">
      <c r="A717" s="45"/>
      <c r="F717" s="52"/>
      <c r="G717" s="53"/>
      <c r="P717" s="54"/>
    </row>
    <row r="718">
      <c r="A718" s="45"/>
      <c r="F718" s="52"/>
      <c r="G718" s="53"/>
      <c r="P718" s="54"/>
    </row>
    <row r="719">
      <c r="A719" s="45"/>
      <c r="F719" s="52"/>
      <c r="G719" s="53"/>
      <c r="P719" s="54"/>
    </row>
    <row r="720">
      <c r="A720" s="45"/>
      <c r="F720" s="52"/>
      <c r="G720" s="53"/>
      <c r="P720" s="54"/>
    </row>
    <row r="721">
      <c r="A721" s="45"/>
      <c r="F721" s="52"/>
      <c r="G721" s="53"/>
      <c r="P721" s="54"/>
    </row>
    <row r="722">
      <c r="A722" s="45"/>
      <c r="F722" s="52"/>
      <c r="G722" s="53"/>
      <c r="P722" s="54"/>
    </row>
    <row r="723">
      <c r="A723" s="45"/>
      <c r="F723" s="52"/>
      <c r="G723" s="53"/>
      <c r="P723" s="54"/>
    </row>
    <row r="724">
      <c r="A724" s="45"/>
      <c r="F724" s="52"/>
      <c r="G724" s="53"/>
      <c r="P724" s="54"/>
    </row>
    <row r="725">
      <c r="A725" s="45"/>
      <c r="F725" s="52"/>
      <c r="G725" s="53"/>
      <c r="P725" s="54"/>
    </row>
    <row r="726">
      <c r="A726" s="45"/>
      <c r="F726" s="52"/>
      <c r="G726" s="53"/>
      <c r="P726" s="54"/>
    </row>
    <row r="727">
      <c r="A727" s="45"/>
      <c r="F727" s="52"/>
      <c r="G727" s="53"/>
      <c r="P727" s="54"/>
    </row>
    <row r="728">
      <c r="A728" s="45"/>
      <c r="F728" s="52"/>
      <c r="G728" s="53"/>
      <c r="P728" s="54"/>
    </row>
    <row r="729">
      <c r="A729" s="45"/>
      <c r="F729" s="52"/>
      <c r="G729" s="53"/>
      <c r="P729" s="54"/>
    </row>
    <row r="730">
      <c r="A730" s="45"/>
      <c r="F730" s="52"/>
      <c r="G730" s="53"/>
      <c r="P730" s="54"/>
    </row>
    <row r="731">
      <c r="A731" s="45"/>
      <c r="F731" s="52"/>
      <c r="G731" s="53"/>
      <c r="P731" s="54"/>
    </row>
    <row r="732">
      <c r="A732" s="45"/>
      <c r="F732" s="52"/>
      <c r="G732" s="53"/>
      <c r="P732" s="54"/>
    </row>
    <row r="733">
      <c r="A733" s="45"/>
      <c r="F733" s="52"/>
      <c r="G733" s="53"/>
      <c r="P733" s="54"/>
    </row>
    <row r="734">
      <c r="A734" s="45"/>
      <c r="F734" s="52"/>
      <c r="G734" s="53"/>
      <c r="P734" s="54"/>
    </row>
    <row r="735">
      <c r="A735" s="45"/>
      <c r="F735" s="52"/>
      <c r="G735" s="53"/>
      <c r="P735" s="54"/>
    </row>
    <row r="736">
      <c r="A736" s="45"/>
      <c r="F736" s="52"/>
      <c r="G736" s="53"/>
      <c r="P736" s="54"/>
    </row>
    <row r="737">
      <c r="A737" s="45"/>
      <c r="F737" s="52"/>
      <c r="G737" s="53"/>
      <c r="P737" s="54"/>
    </row>
    <row r="738">
      <c r="A738" s="45"/>
      <c r="F738" s="52"/>
      <c r="G738" s="53"/>
      <c r="P738" s="54"/>
    </row>
    <row r="739">
      <c r="A739" s="45"/>
      <c r="F739" s="52"/>
      <c r="G739" s="53"/>
      <c r="P739" s="54"/>
    </row>
    <row r="740">
      <c r="A740" s="45"/>
      <c r="F740" s="52"/>
      <c r="G740" s="53"/>
      <c r="P740" s="54"/>
    </row>
    <row r="741">
      <c r="A741" s="45"/>
      <c r="F741" s="52"/>
      <c r="G741" s="53"/>
      <c r="P741" s="54"/>
    </row>
    <row r="742">
      <c r="A742" s="45"/>
      <c r="F742" s="52"/>
      <c r="G742" s="53"/>
      <c r="P742" s="54"/>
    </row>
    <row r="743">
      <c r="A743" s="45"/>
      <c r="F743" s="52"/>
      <c r="G743" s="53"/>
      <c r="P743" s="54"/>
    </row>
    <row r="744">
      <c r="A744" s="45"/>
      <c r="F744" s="52"/>
      <c r="G744" s="53"/>
      <c r="P744" s="54"/>
    </row>
    <row r="745">
      <c r="A745" s="45"/>
      <c r="F745" s="52"/>
      <c r="G745" s="53"/>
      <c r="P745" s="54"/>
    </row>
    <row r="746">
      <c r="A746" s="45"/>
      <c r="F746" s="52"/>
      <c r="G746" s="53"/>
      <c r="P746" s="54"/>
    </row>
    <row r="747">
      <c r="A747" s="45"/>
      <c r="F747" s="52"/>
      <c r="G747" s="53"/>
      <c r="P747" s="54"/>
    </row>
    <row r="748">
      <c r="A748" s="45"/>
      <c r="F748" s="52"/>
      <c r="G748" s="53"/>
      <c r="P748" s="54"/>
    </row>
    <row r="749">
      <c r="A749" s="45"/>
      <c r="F749" s="52"/>
      <c r="G749" s="53"/>
      <c r="P749" s="54"/>
    </row>
    <row r="750">
      <c r="A750" s="45"/>
      <c r="F750" s="52"/>
      <c r="G750" s="53"/>
      <c r="P750" s="54"/>
    </row>
    <row r="751">
      <c r="A751" s="45"/>
      <c r="F751" s="52"/>
      <c r="G751" s="53"/>
      <c r="P751" s="54"/>
    </row>
    <row r="752">
      <c r="A752" s="45"/>
      <c r="F752" s="52"/>
      <c r="G752" s="53"/>
      <c r="P752" s="54"/>
    </row>
    <row r="753">
      <c r="A753" s="45"/>
      <c r="F753" s="52"/>
      <c r="G753" s="53"/>
      <c r="P753" s="54"/>
    </row>
    <row r="754">
      <c r="A754" s="45"/>
      <c r="F754" s="52"/>
      <c r="G754" s="53"/>
      <c r="P754" s="54"/>
    </row>
    <row r="755">
      <c r="A755" s="45"/>
      <c r="F755" s="52"/>
      <c r="G755" s="53"/>
      <c r="P755" s="54"/>
    </row>
    <row r="756">
      <c r="A756" s="45"/>
      <c r="F756" s="52"/>
      <c r="G756" s="53"/>
      <c r="P756" s="54"/>
    </row>
    <row r="757">
      <c r="A757" s="45"/>
      <c r="F757" s="52"/>
      <c r="G757" s="53"/>
      <c r="P757" s="54"/>
    </row>
    <row r="758">
      <c r="A758" s="45"/>
      <c r="F758" s="52"/>
      <c r="G758" s="53"/>
      <c r="P758" s="54"/>
    </row>
    <row r="759">
      <c r="A759" s="45"/>
      <c r="F759" s="52"/>
      <c r="G759" s="53"/>
      <c r="P759" s="54"/>
    </row>
    <row r="760">
      <c r="A760" s="45"/>
      <c r="F760" s="52"/>
      <c r="G760" s="53"/>
      <c r="P760" s="54"/>
    </row>
    <row r="761">
      <c r="A761" s="45"/>
      <c r="F761" s="52"/>
      <c r="G761" s="53"/>
      <c r="P761" s="54"/>
    </row>
    <row r="762">
      <c r="A762" s="45"/>
      <c r="F762" s="52"/>
      <c r="G762" s="53"/>
      <c r="P762" s="54"/>
    </row>
    <row r="763">
      <c r="A763" s="45"/>
      <c r="F763" s="52"/>
      <c r="G763" s="53"/>
      <c r="P763" s="54"/>
    </row>
    <row r="764">
      <c r="A764" s="45"/>
      <c r="F764" s="52"/>
      <c r="G764" s="53"/>
      <c r="P764" s="54"/>
    </row>
    <row r="765">
      <c r="A765" s="45"/>
      <c r="F765" s="52"/>
      <c r="G765" s="53"/>
      <c r="P765" s="54"/>
    </row>
    <row r="766">
      <c r="A766" s="45"/>
      <c r="F766" s="52"/>
      <c r="G766" s="53"/>
      <c r="P766" s="54"/>
    </row>
    <row r="767">
      <c r="A767" s="45"/>
      <c r="F767" s="52"/>
      <c r="G767" s="53"/>
      <c r="P767" s="54"/>
    </row>
    <row r="768">
      <c r="A768" s="45"/>
      <c r="F768" s="52"/>
      <c r="G768" s="53"/>
      <c r="P768" s="54"/>
    </row>
    <row r="769">
      <c r="A769" s="45"/>
      <c r="F769" s="52"/>
      <c r="G769" s="53"/>
      <c r="P769" s="54"/>
    </row>
    <row r="770">
      <c r="A770" s="45"/>
      <c r="F770" s="52"/>
      <c r="G770" s="53"/>
      <c r="P770" s="54"/>
    </row>
    <row r="771">
      <c r="A771" s="45"/>
      <c r="F771" s="52"/>
      <c r="G771" s="53"/>
      <c r="P771" s="54"/>
    </row>
    <row r="772">
      <c r="A772" s="45"/>
      <c r="F772" s="52"/>
      <c r="G772" s="53"/>
      <c r="P772" s="54"/>
    </row>
    <row r="773">
      <c r="A773" s="45"/>
      <c r="F773" s="52"/>
      <c r="G773" s="53"/>
      <c r="P773" s="54"/>
    </row>
    <row r="774">
      <c r="A774" s="45"/>
      <c r="F774" s="52"/>
      <c r="G774" s="53"/>
      <c r="P774" s="54"/>
    </row>
    <row r="775">
      <c r="A775" s="45"/>
      <c r="F775" s="52"/>
      <c r="G775" s="53"/>
      <c r="P775" s="54"/>
    </row>
    <row r="776">
      <c r="A776" s="45"/>
      <c r="F776" s="52"/>
      <c r="G776" s="53"/>
      <c r="P776" s="54"/>
    </row>
    <row r="777">
      <c r="A777" s="45"/>
      <c r="F777" s="52"/>
      <c r="G777" s="53"/>
      <c r="P777" s="54"/>
    </row>
    <row r="778">
      <c r="A778" s="45"/>
      <c r="F778" s="52"/>
      <c r="G778" s="53"/>
      <c r="P778" s="54"/>
    </row>
    <row r="779">
      <c r="A779" s="45"/>
      <c r="F779" s="52"/>
      <c r="G779" s="53"/>
      <c r="P779" s="54"/>
    </row>
    <row r="780">
      <c r="A780" s="45"/>
      <c r="F780" s="52"/>
      <c r="G780" s="53"/>
      <c r="P780" s="54"/>
    </row>
    <row r="781">
      <c r="A781" s="45"/>
      <c r="F781" s="52"/>
      <c r="G781" s="53"/>
      <c r="P781" s="54"/>
    </row>
    <row r="782">
      <c r="A782" s="45"/>
      <c r="F782" s="52"/>
      <c r="G782" s="53"/>
      <c r="P782" s="54"/>
    </row>
    <row r="783">
      <c r="A783" s="45"/>
      <c r="F783" s="52"/>
      <c r="G783" s="53"/>
      <c r="P783" s="54"/>
    </row>
    <row r="784">
      <c r="A784" s="45"/>
      <c r="F784" s="52"/>
      <c r="G784" s="53"/>
      <c r="P784" s="54"/>
    </row>
    <row r="785">
      <c r="A785" s="45"/>
      <c r="F785" s="52"/>
      <c r="G785" s="53"/>
      <c r="P785" s="54"/>
    </row>
    <row r="786">
      <c r="A786" s="45"/>
      <c r="F786" s="52"/>
      <c r="G786" s="53"/>
      <c r="P786" s="54"/>
    </row>
    <row r="787">
      <c r="A787" s="45"/>
      <c r="F787" s="52"/>
      <c r="G787" s="53"/>
      <c r="P787" s="54"/>
    </row>
    <row r="788">
      <c r="A788" s="45"/>
      <c r="F788" s="52"/>
      <c r="G788" s="53"/>
      <c r="P788" s="54"/>
    </row>
    <row r="789">
      <c r="A789" s="45"/>
      <c r="F789" s="52"/>
      <c r="G789" s="53"/>
      <c r="P789" s="54"/>
    </row>
    <row r="790">
      <c r="A790" s="45"/>
      <c r="F790" s="52"/>
      <c r="G790" s="53"/>
      <c r="P790" s="54"/>
    </row>
    <row r="791">
      <c r="A791" s="45"/>
      <c r="F791" s="52"/>
      <c r="G791" s="53"/>
      <c r="P791" s="54"/>
    </row>
    <row r="792">
      <c r="A792" s="45"/>
      <c r="F792" s="52"/>
      <c r="G792" s="53"/>
      <c r="P792" s="54"/>
    </row>
    <row r="793">
      <c r="A793" s="45"/>
      <c r="F793" s="52"/>
      <c r="G793" s="53"/>
      <c r="P793" s="54"/>
    </row>
    <row r="794">
      <c r="A794" s="45"/>
      <c r="F794" s="52"/>
      <c r="G794" s="53"/>
      <c r="P794" s="54"/>
    </row>
    <row r="795">
      <c r="A795" s="45"/>
      <c r="F795" s="52"/>
      <c r="G795" s="53"/>
      <c r="P795" s="54"/>
    </row>
    <row r="796">
      <c r="A796" s="45"/>
      <c r="F796" s="52"/>
      <c r="G796" s="53"/>
      <c r="P796" s="54"/>
    </row>
    <row r="797">
      <c r="A797" s="45"/>
      <c r="F797" s="52"/>
      <c r="G797" s="53"/>
      <c r="P797" s="54"/>
    </row>
    <row r="798">
      <c r="A798" s="45"/>
      <c r="F798" s="52"/>
      <c r="G798" s="53"/>
      <c r="P798" s="54"/>
    </row>
    <row r="799">
      <c r="A799" s="45"/>
      <c r="F799" s="52"/>
      <c r="G799" s="53"/>
      <c r="P799" s="54"/>
    </row>
    <row r="800">
      <c r="A800" s="45"/>
      <c r="F800" s="52"/>
      <c r="G800" s="53"/>
      <c r="P800" s="54"/>
    </row>
    <row r="801">
      <c r="A801" s="45"/>
      <c r="F801" s="52"/>
      <c r="G801" s="53"/>
      <c r="P801" s="54"/>
    </row>
    <row r="802">
      <c r="A802" s="45"/>
      <c r="F802" s="52"/>
      <c r="G802" s="53"/>
      <c r="P802" s="54"/>
    </row>
    <row r="803">
      <c r="A803" s="45"/>
      <c r="F803" s="52"/>
      <c r="G803" s="53"/>
      <c r="P803" s="54"/>
    </row>
    <row r="804">
      <c r="A804" s="45"/>
      <c r="F804" s="52"/>
      <c r="G804" s="53"/>
      <c r="P804" s="54"/>
    </row>
    <row r="805">
      <c r="A805" s="45"/>
      <c r="F805" s="52"/>
      <c r="G805" s="53"/>
      <c r="P805" s="54"/>
    </row>
    <row r="806">
      <c r="A806" s="45"/>
      <c r="F806" s="52"/>
      <c r="G806" s="53"/>
      <c r="P806" s="54"/>
    </row>
    <row r="807">
      <c r="A807" s="45"/>
      <c r="F807" s="52"/>
      <c r="G807" s="53"/>
      <c r="P807" s="54"/>
    </row>
    <row r="808">
      <c r="A808" s="45"/>
      <c r="F808" s="52"/>
      <c r="G808" s="53"/>
      <c r="P808" s="54"/>
    </row>
    <row r="809">
      <c r="A809" s="45"/>
      <c r="F809" s="52"/>
      <c r="G809" s="53"/>
      <c r="P809" s="54"/>
    </row>
    <row r="810">
      <c r="A810" s="45"/>
      <c r="F810" s="52"/>
      <c r="G810" s="53"/>
      <c r="P810" s="54"/>
    </row>
    <row r="811">
      <c r="A811" s="45"/>
      <c r="F811" s="52"/>
      <c r="G811" s="53"/>
      <c r="P811" s="54"/>
    </row>
    <row r="812">
      <c r="A812" s="45"/>
      <c r="F812" s="52"/>
      <c r="G812" s="53"/>
      <c r="P812" s="54"/>
    </row>
    <row r="813">
      <c r="A813" s="45"/>
      <c r="F813" s="52"/>
      <c r="G813" s="53"/>
      <c r="P813" s="54"/>
    </row>
    <row r="814">
      <c r="A814" s="45"/>
      <c r="F814" s="52"/>
      <c r="G814" s="53"/>
      <c r="P814" s="54"/>
    </row>
    <row r="815">
      <c r="A815" s="45"/>
      <c r="F815" s="52"/>
      <c r="G815" s="53"/>
      <c r="P815" s="54"/>
    </row>
    <row r="816">
      <c r="A816" s="45"/>
      <c r="F816" s="52"/>
      <c r="G816" s="53"/>
      <c r="P816" s="54"/>
    </row>
    <row r="817">
      <c r="A817" s="45"/>
      <c r="F817" s="52"/>
      <c r="G817" s="53"/>
      <c r="P817" s="54"/>
    </row>
    <row r="818">
      <c r="A818" s="45"/>
      <c r="F818" s="52"/>
      <c r="G818" s="53"/>
      <c r="P818" s="54"/>
    </row>
    <row r="819">
      <c r="A819" s="45"/>
      <c r="F819" s="52"/>
      <c r="G819" s="53"/>
      <c r="P819" s="54"/>
    </row>
    <row r="820">
      <c r="A820" s="45"/>
      <c r="F820" s="52"/>
      <c r="G820" s="53"/>
      <c r="P820" s="54"/>
    </row>
    <row r="821">
      <c r="A821" s="45"/>
      <c r="F821" s="52"/>
      <c r="G821" s="53"/>
      <c r="P821" s="54"/>
    </row>
    <row r="822">
      <c r="A822" s="45"/>
      <c r="F822" s="52"/>
      <c r="G822" s="53"/>
      <c r="P822" s="54"/>
    </row>
    <row r="823">
      <c r="A823" s="45"/>
      <c r="F823" s="52"/>
      <c r="G823" s="53"/>
      <c r="P823" s="54"/>
    </row>
    <row r="824">
      <c r="A824" s="45"/>
      <c r="F824" s="52"/>
      <c r="G824" s="53"/>
      <c r="P824" s="54"/>
    </row>
    <row r="825">
      <c r="A825" s="45"/>
      <c r="F825" s="52"/>
      <c r="G825" s="53"/>
      <c r="P825" s="54"/>
    </row>
    <row r="826">
      <c r="A826" s="45"/>
      <c r="F826" s="52"/>
      <c r="G826" s="53"/>
      <c r="P826" s="54"/>
    </row>
    <row r="827">
      <c r="A827" s="45"/>
      <c r="F827" s="52"/>
      <c r="G827" s="53"/>
      <c r="P827" s="54"/>
    </row>
    <row r="828">
      <c r="A828" s="45"/>
      <c r="F828" s="52"/>
      <c r="G828" s="53"/>
      <c r="P828" s="54"/>
    </row>
    <row r="829">
      <c r="A829" s="45"/>
      <c r="F829" s="52"/>
      <c r="G829" s="53"/>
      <c r="P829" s="54"/>
    </row>
    <row r="830">
      <c r="A830" s="45"/>
      <c r="F830" s="52"/>
      <c r="G830" s="53"/>
      <c r="P830" s="54"/>
    </row>
    <row r="831">
      <c r="A831" s="45"/>
      <c r="F831" s="52"/>
      <c r="G831" s="53"/>
      <c r="P831" s="54"/>
    </row>
    <row r="832">
      <c r="A832" s="45"/>
      <c r="F832" s="52"/>
      <c r="G832" s="53"/>
      <c r="P832" s="54"/>
    </row>
    <row r="833">
      <c r="A833" s="45"/>
      <c r="F833" s="52"/>
      <c r="G833" s="53"/>
      <c r="P833" s="54"/>
    </row>
    <row r="834">
      <c r="A834" s="45"/>
      <c r="F834" s="52"/>
      <c r="G834" s="53"/>
      <c r="P834" s="54"/>
    </row>
    <row r="835">
      <c r="A835" s="45"/>
      <c r="F835" s="52"/>
      <c r="G835" s="53"/>
      <c r="P835" s="54"/>
    </row>
    <row r="836">
      <c r="A836" s="45"/>
      <c r="F836" s="52"/>
      <c r="G836" s="53"/>
      <c r="P836" s="54"/>
    </row>
    <row r="837">
      <c r="A837" s="45"/>
      <c r="F837" s="52"/>
      <c r="G837" s="53"/>
      <c r="P837" s="54"/>
    </row>
    <row r="838">
      <c r="A838" s="45"/>
      <c r="F838" s="52"/>
      <c r="G838" s="53"/>
      <c r="P838" s="54"/>
    </row>
    <row r="839">
      <c r="A839" s="45"/>
      <c r="F839" s="52"/>
      <c r="G839" s="53"/>
      <c r="P839" s="54"/>
    </row>
    <row r="840">
      <c r="A840" s="45"/>
      <c r="F840" s="52"/>
      <c r="G840" s="53"/>
      <c r="P840" s="54"/>
    </row>
    <row r="841">
      <c r="A841" s="45"/>
      <c r="F841" s="52"/>
      <c r="G841" s="53"/>
      <c r="P841" s="54"/>
    </row>
    <row r="842">
      <c r="A842" s="45"/>
      <c r="F842" s="52"/>
      <c r="G842" s="53"/>
      <c r="P842" s="54"/>
    </row>
    <row r="843">
      <c r="A843" s="45"/>
      <c r="F843" s="52"/>
      <c r="G843" s="53"/>
      <c r="P843" s="54"/>
    </row>
    <row r="844">
      <c r="A844" s="45"/>
      <c r="F844" s="52"/>
      <c r="G844" s="53"/>
      <c r="P844" s="54"/>
    </row>
    <row r="845">
      <c r="A845" s="45"/>
      <c r="F845" s="52"/>
      <c r="G845" s="53"/>
      <c r="P845" s="54"/>
    </row>
    <row r="846">
      <c r="A846" s="45"/>
      <c r="F846" s="52"/>
      <c r="G846" s="53"/>
      <c r="P846" s="54"/>
    </row>
    <row r="847">
      <c r="A847" s="45"/>
      <c r="F847" s="52"/>
      <c r="G847" s="53"/>
      <c r="P847" s="54"/>
    </row>
    <row r="848">
      <c r="A848" s="45"/>
      <c r="F848" s="52"/>
      <c r="G848" s="53"/>
      <c r="P848" s="54"/>
    </row>
    <row r="849">
      <c r="A849" s="45"/>
      <c r="F849" s="52"/>
      <c r="G849" s="53"/>
      <c r="P849" s="54"/>
    </row>
    <row r="850">
      <c r="A850" s="45"/>
      <c r="F850" s="52"/>
      <c r="G850" s="53"/>
      <c r="P850" s="54"/>
    </row>
    <row r="851">
      <c r="A851" s="45"/>
      <c r="F851" s="52"/>
      <c r="G851" s="53"/>
      <c r="P851" s="54"/>
    </row>
    <row r="852">
      <c r="A852" s="45"/>
      <c r="F852" s="52"/>
      <c r="G852" s="53"/>
      <c r="P852" s="54"/>
    </row>
    <row r="853">
      <c r="A853" s="45"/>
      <c r="F853" s="52"/>
      <c r="G853" s="53"/>
      <c r="P853" s="54"/>
    </row>
    <row r="854">
      <c r="A854" s="45"/>
      <c r="F854" s="52"/>
      <c r="G854" s="53"/>
      <c r="P854" s="54"/>
    </row>
    <row r="855">
      <c r="A855" s="45"/>
      <c r="F855" s="52"/>
      <c r="G855" s="53"/>
      <c r="P855" s="54"/>
    </row>
    <row r="856">
      <c r="A856" s="45"/>
      <c r="F856" s="52"/>
      <c r="G856" s="53"/>
      <c r="P856" s="54"/>
    </row>
    <row r="857">
      <c r="A857" s="45"/>
      <c r="F857" s="52"/>
      <c r="G857" s="53"/>
      <c r="P857" s="54"/>
    </row>
    <row r="858">
      <c r="A858" s="45"/>
      <c r="F858" s="52"/>
      <c r="G858" s="53"/>
      <c r="P858" s="54"/>
    </row>
    <row r="859">
      <c r="A859" s="45"/>
      <c r="F859" s="52"/>
      <c r="G859" s="53"/>
      <c r="P859" s="54"/>
    </row>
    <row r="860">
      <c r="A860" s="45"/>
      <c r="F860" s="52"/>
      <c r="G860" s="53"/>
      <c r="P860" s="54"/>
    </row>
    <row r="861">
      <c r="A861" s="45"/>
      <c r="F861" s="52"/>
      <c r="G861" s="53"/>
      <c r="P861" s="54"/>
    </row>
    <row r="862">
      <c r="A862" s="45"/>
      <c r="F862" s="52"/>
      <c r="G862" s="53"/>
      <c r="P862" s="54"/>
    </row>
    <row r="863">
      <c r="A863" s="45"/>
      <c r="F863" s="52"/>
      <c r="G863" s="53"/>
      <c r="P863" s="54"/>
    </row>
    <row r="864">
      <c r="A864" s="45"/>
      <c r="F864" s="52"/>
      <c r="G864" s="53"/>
      <c r="P864" s="54"/>
    </row>
    <row r="865">
      <c r="A865" s="45"/>
      <c r="F865" s="52"/>
      <c r="G865" s="53"/>
      <c r="P865" s="54"/>
    </row>
    <row r="866">
      <c r="A866" s="45"/>
      <c r="F866" s="52"/>
      <c r="G866" s="53"/>
      <c r="P866" s="54"/>
    </row>
    <row r="867">
      <c r="A867" s="45"/>
      <c r="F867" s="52"/>
      <c r="G867" s="53"/>
      <c r="P867" s="54"/>
    </row>
    <row r="868">
      <c r="A868" s="45"/>
      <c r="F868" s="52"/>
      <c r="G868" s="53"/>
      <c r="P868" s="54"/>
    </row>
    <row r="869">
      <c r="A869" s="45"/>
      <c r="F869" s="52"/>
      <c r="G869" s="53"/>
      <c r="P869" s="54"/>
    </row>
    <row r="870">
      <c r="A870" s="45"/>
      <c r="F870" s="52"/>
      <c r="G870" s="53"/>
      <c r="P870" s="54"/>
    </row>
    <row r="871">
      <c r="A871" s="45"/>
      <c r="F871" s="52"/>
      <c r="G871" s="53"/>
      <c r="P871" s="54"/>
    </row>
    <row r="872">
      <c r="A872" s="45"/>
      <c r="F872" s="52"/>
      <c r="G872" s="53"/>
      <c r="P872" s="54"/>
    </row>
    <row r="873">
      <c r="A873" s="45"/>
      <c r="F873" s="52"/>
      <c r="G873" s="53"/>
      <c r="P873" s="54"/>
    </row>
    <row r="874">
      <c r="A874" s="45"/>
      <c r="F874" s="52"/>
      <c r="G874" s="53"/>
      <c r="P874" s="54"/>
    </row>
    <row r="875">
      <c r="A875" s="45"/>
      <c r="F875" s="52"/>
      <c r="G875" s="53"/>
      <c r="P875" s="54"/>
    </row>
    <row r="876">
      <c r="A876" s="45"/>
      <c r="F876" s="52"/>
      <c r="G876" s="53"/>
      <c r="P876" s="54"/>
    </row>
    <row r="877">
      <c r="A877" s="45"/>
      <c r="F877" s="52"/>
      <c r="G877" s="53"/>
      <c r="P877" s="54"/>
    </row>
    <row r="878">
      <c r="A878" s="45"/>
      <c r="F878" s="52"/>
      <c r="G878" s="53"/>
      <c r="P878" s="54"/>
    </row>
    <row r="879">
      <c r="A879" s="45"/>
      <c r="F879" s="52"/>
      <c r="G879" s="53"/>
      <c r="P879" s="54"/>
    </row>
    <row r="880">
      <c r="A880" s="45"/>
      <c r="F880" s="52"/>
      <c r="G880" s="53"/>
      <c r="P880" s="54"/>
    </row>
    <row r="881">
      <c r="A881" s="45"/>
      <c r="F881" s="52"/>
      <c r="G881" s="53"/>
      <c r="P881" s="54"/>
    </row>
    <row r="882">
      <c r="A882" s="45"/>
      <c r="F882" s="52"/>
      <c r="G882" s="53"/>
      <c r="P882" s="54"/>
    </row>
    <row r="883">
      <c r="A883" s="45"/>
      <c r="F883" s="52"/>
      <c r="G883" s="53"/>
      <c r="P883" s="54"/>
    </row>
    <row r="884">
      <c r="A884" s="45"/>
      <c r="F884" s="52"/>
      <c r="G884" s="53"/>
      <c r="P884" s="54"/>
    </row>
    <row r="885">
      <c r="A885" s="45"/>
      <c r="F885" s="52"/>
      <c r="G885" s="53"/>
      <c r="P885" s="54"/>
    </row>
    <row r="886">
      <c r="A886" s="45"/>
      <c r="F886" s="52"/>
      <c r="G886" s="53"/>
      <c r="P886" s="54"/>
    </row>
    <row r="887">
      <c r="A887" s="45"/>
      <c r="F887" s="52"/>
      <c r="G887" s="53"/>
      <c r="P887" s="54"/>
    </row>
    <row r="888">
      <c r="A888" s="45"/>
      <c r="F888" s="52"/>
      <c r="G888" s="53"/>
      <c r="P888" s="54"/>
    </row>
    <row r="889">
      <c r="A889" s="45"/>
      <c r="F889" s="52"/>
      <c r="G889" s="53"/>
      <c r="P889" s="54"/>
    </row>
    <row r="890">
      <c r="A890" s="45"/>
      <c r="F890" s="52"/>
      <c r="G890" s="53"/>
      <c r="P890" s="54"/>
    </row>
    <row r="891">
      <c r="A891" s="45"/>
      <c r="F891" s="52"/>
      <c r="G891" s="53"/>
      <c r="P891" s="54"/>
    </row>
    <row r="892">
      <c r="A892" s="45"/>
      <c r="F892" s="52"/>
      <c r="G892" s="53"/>
      <c r="P892" s="54"/>
    </row>
    <row r="893">
      <c r="A893" s="45"/>
      <c r="F893" s="52"/>
      <c r="G893" s="53"/>
      <c r="P893" s="54"/>
    </row>
    <row r="894">
      <c r="A894" s="45"/>
      <c r="F894" s="52"/>
      <c r="G894" s="53"/>
      <c r="P894" s="54"/>
    </row>
    <row r="895">
      <c r="A895" s="45"/>
      <c r="F895" s="52"/>
      <c r="G895" s="53"/>
      <c r="P895" s="54"/>
    </row>
    <row r="896">
      <c r="A896" s="45"/>
      <c r="F896" s="52"/>
      <c r="G896" s="53"/>
      <c r="P896" s="54"/>
    </row>
    <row r="897">
      <c r="A897" s="45"/>
      <c r="F897" s="52"/>
      <c r="G897" s="53"/>
      <c r="P897" s="54"/>
    </row>
    <row r="898">
      <c r="A898" s="45"/>
      <c r="F898" s="52"/>
      <c r="G898" s="53"/>
      <c r="P898" s="54"/>
    </row>
    <row r="899">
      <c r="A899" s="45"/>
      <c r="F899" s="52"/>
      <c r="G899" s="53"/>
      <c r="P899" s="54"/>
    </row>
    <row r="900">
      <c r="A900" s="45"/>
      <c r="F900" s="52"/>
      <c r="G900" s="53"/>
      <c r="P900" s="54"/>
    </row>
    <row r="901">
      <c r="A901" s="45"/>
      <c r="F901" s="52"/>
      <c r="G901" s="53"/>
      <c r="P901" s="54"/>
    </row>
    <row r="902">
      <c r="A902" s="45"/>
      <c r="F902" s="52"/>
      <c r="G902" s="53"/>
      <c r="P902" s="54"/>
    </row>
    <row r="903">
      <c r="A903" s="45"/>
      <c r="F903" s="52"/>
      <c r="G903" s="53"/>
      <c r="P903" s="54"/>
    </row>
    <row r="904">
      <c r="A904" s="45"/>
      <c r="F904" s="52"/>
      <c r="G904" s="53"/>
      <c r="P904" s="54"/>
    </row>
    <row r="905">
      <c r="A905" s="45"/>
      <c r="F905" s="52"/>
      <c r="G905" s="53"/>
      <c r="P905" s="54"/>
    </row>
    <row r="906">
      <c r="A906" s="45"/>
      <c r="F906" s="52"/>
      <c r="G906" s="53"/>
      <c r="P906" s="54"/>
    </row>
    <row r="907">
      <c r="A907" s="45"/>
      <c r="F907" s="52"/>
      <c r="G907" s="53"/>
      <c r="P907" s="54"/>
    </row>
    <row r="908">
      <c r="A908" s="45"/>
      <c r="F908" s="52"/>
      <c r="G908" s="53"/>
      <c r="P908" s="54"/>
    </row>
    <row r="909">
      <c r="A909" s="45"/>
      <c r="F909" s="52"/>
      <c r="G909" s="53"/>
      <c r="P909" s="54"/>
    </row>
    <row r="910">
      <c r="A910" s="45"/>
      <c r="F910" s="52"/>
      <c r="G910" s="53"/>
      <c r="P910" s="54"/>
    </row>
    <row r="911">
      <c r="A911" s="45"/>
      <c r="F911" s="52"/>
      <c r="G911" s="53"/>
      <c r="P911" s="54"/>
    </row>
    <row r="912">
      <c r="A912" s="45"/>
      <c r="F912" s="52"/>
      <c r="G912" s="53"/>
      <c r="P912" s="54"/>
    </row>
    <row r="913">
      <c r="A913" s="45"/>
      <c r="F913" s="52"/>
      <c r="G913" s="53"/>
      <c r="P913" s="54"/>
    </row>
    <row r="914">
      <c r="A914" s="45"/>
      <c r="F914" s="52"/>
      <c r="G914" s="53"/>
      <c r="P914" s="54"/>
    </row>
    <row r="915">
      <c r="A915" s="45"/>
      <c r="F915" s="52"/>
      <c r="G915" s="53"/>
      <c r="P915" s="54"/>
    </row>
    <row r="916">
      <c r="A916" s="45"/>
      <c r="F916" s="52"/>
      <c r="G916" s="53"/>
      <c r="P916" s="54"/>
    </row>
    <row r="917">
      <c r="A917" s="45"/>
      <c r="F917" s="52"/>
      <c r="G917" s="53"/>
      <c r="P917" s="54"/>
    </row>
    <row r="918">
      <c r="A918" s="45"/>
      <c r="F918" s="52"/>
      <c r="G918" s="53"/>
      <c r="P918" s="54"/>
    </row>
    <row r="919">
      <c r="A919" s="45"/>
      <c r="F919" s="52"/>
      <c r="G919" s="53"/>
      <c r="P919" s="54"/>
    </row>
    <row r="920">
      <c r="A920" s="45"/>
      <c r="F920" s="52"/>
      <c r="G920" s="53"/>
      <c r="P920" s="54"/>
    </row>
    <row r="921">
      <c r="A921" s="45"/>
      <c r="F921" s="52"/>
      <c r="G921" s="53"/>
      <c r="P921" s="54"/>
    </row>
    <row r="922">
      <c r="A922" s="45"/>
      <c r="F922" s="52"/>
      <c r="G922" s="53"/>
      <c r="P922" s="54"/>
    </row>
    <row r="923">
      <c r="A923" s="45"/>
      <c r="F923" s="52"/>
      <c r="G923" s="53"/>
      <c r="P923" s="54"/>
    </row>
    <row r="924">
      <c r="A924" s="45"/>
      <c r="F924" s="52"/>
      <c r="G924" s="53"/>
      <c r="P924" s="54"/>
    </row>
    <row r="925">
      <c r="A925" s="45"/>
      <c r="F925" s="52"/>
      <c r="G925" s="53"/>
      <c r="P925" s="54"/>
    </row>
    <row r="926">
      <c r="A926" s="45"/>
      <c r="F926" s="52"/>
      <c r="G926" s="53"/>
      <c r="P926" s="54"/>
    </row>
    <row r="927">
      <c r="A927" s="45"/>
      <c r="F927" s="52"/>
      <c r="G927" s="53"/>
      <c r="P927" s="54"/>
    </row>
    <row r="928">
      <c r="A928" s="45"/>
      <c r="F928" s="52"/>
      <c r="G928" s="53"/>
      <c r="P928" s="54"/>
    </row>
    <row r="929">
      <c r="A929" s="45"/>
      <c r="F929" s="52"/>
      <c r="G929" s="53"/>
      <c r="P929" s="54"/>
    </row>
    <row r="930">
      <c r="A930" s="45"/>
      <c r="F930" s="52"/>
      <c r="G930" s="53"/>
      <c r="P930" s="54"/>
    </row>
    <row r="931">
      <c r="A931" s="45"/>
      <c r="F931" s="52"/>
      <c r="G931" s="53"/>
      <c r="P931" s="54"/>
    </row>
    <row r="932">
      <c r="A932" s="45"/>
      <c r="F932" s="52"/>
      <c r="G932" s="53"/>
      <c r="P932" s="54"/>
    </row>
    <row r="933">
      <c r="A933" s="45"/>
      <c r="F933" s="52"/>
      <c r="G933" s="53"/>
      <c r="P933" s="54"/>
    </row>
    <row r="934">
      <c r="A934" s="45"/>
      <c r="F934" s="52"/>
      <c r="G934" s="53"/>
      <c r="P934" s="54"/>
    </row>
    <row r="935">
      <c r="A935" s="45"/>
      <c r="F935" s="52"/>
      <c r="G935" s="53"/>
      <c r="P935" s="54"/>
    </row>
    <row r="936">
      <c r="A936" s="45"/>
      <c r="F936" s="52"/>
      <c r="G936" s="53"/>
      <c r="P936" s="54"/>
    </row>
    <row r="937">
      <c r="A937" s="45"/>
      <c r="F937" s="52"/>
      <c r="G937" s="53"/>
      <c r="P937" s="54"/>
    </row>
    <row r="938">
      <c r="A938" s="45"/>
      <c r="F938" s="52"/>
      <c r="G938" s="53"/>
      <c r="P938" s="54"/>
    </row>
    <row r="939">
      <c r="A939" s="45"/>
      <c r="F939" s="52"/>
      <c r="G939" s="53"/>
      <c r="P939" s="54"/>
    </row>
    <row r="940">
      <c r="A940" s="45"/>
      <c r="F940" s="52"/>
      <c r="G940" s="53"/>
      <c r="P940" s="54"/>
    </row>
    <row r="941">
      <c r="A941" s="45"/>
      <c r="F941" s="52"/>
      <c r="G941" s="53"/>
      <c r="P941" s="54"/>
    </row>
    <row r="942">
      <c r="A942" s="45"/>
      <c r="F942" s="52"/>
      <c r="G942" s="53"/>
      <c r="P942" s="54"/>
    </row>
    <row r="943">
      <c r="A943" s="45"/>
      <c r="F943" s="52"/>
      <c r="G943" s="53"/>
      <c r="P943" s="54"/>
    </row>
    <row r="944">
      <c r="A944" s="45"/>
      <c r="F944" s="52"/>
      <c r="G944" s="53"/>
      <c r="P944" s="54"/>
    </row>
    <row r="945">
      <c r="A945" s="45"/>
      <c r="F945" s="52"/>
      <c r="G945" s="53"/>
      <c r="P945" s="54"/>
    </row>
    <row r="946">
      <c r="A946" s="45"/>
      <c r="F946" s="52"/>
      <c r="G946" s="53"/>
      <c r="P946" s="54"/>
    </row>
    <row r="947">
      <c r="A947" s="45"/>
      <c r="F947" s="52"/>
      <c r="G947" s="53"/>
      <c r="P947" s="54"/>
    </row>
    <row r="948">
      <c r="A948" s="45"/>
      <c r="F948" s="52"/>
      <c r="G948" s="53"/>
      <c r="P948" s="54"/>
    </row>
    <row r="949">
      <c r="A949" s="45"/>
      <c r="F949" s="52"/>
      <c r="G949" s="53"/>
      <c r="P949" s="54"/>
    </row>
    <row r="950">
      <c r="A950" s="45"/>
      <c r="F950" s="52"/>
      <c r="G950" s="53"/>
      <c r="P950" s="54"/>
    </row>
    <row r="951">
      <c r="A951" s="45"/>
      <c r="F951" s="52"/>
      <c r="G951" s="53"/>
      <c r="P951" s="54"/>
    </row>
    <row r="952">
      <c r="A952" s="45"/>
      <c r="F952" s="52"/>
      <c r="G952" s="53"/>
      <c r="P952" s="54"/>
    </row>
    <row r="953">
      <c r="A953" s="45"/>
      <c r="F953" s="52"/>
      <c r="G953" s="53"/>
      <c r="P953" s="54"/>
    </row>
    <row r="954">
      <c r="A954" s="45"/>
      <c r="F954" s="52"/>
      <c r="G954" s="53"/>
      <c r="P954" s="54"/>
    </row>
    <row r="955">
      <c r="A955" s="45"/>
      <c r="F955" s="52"/>
      <c r="G955" s="53"/>
      <c r="P955" s="54"/>
    </row>
    <row r="956">
      <c r="A956" s="45"/>
      <c r="F956" s="52"/>
      <c r="G956" s="53"/>
      <c r="P956" s="54"/>
    </row>
    <row r="957">
      <c r="A957" s="45"/>
      <c r="F957" s="52"/>
      <c r="G957" s="53"/>
      <c r="P957" s="54"/>
    </row>
    <row r="958">
      <c r="A958" s="45"/>
      <c r="F958" s="52"/>
      <c r="G958" s="53"/>
      <c r="P958" s="54"/>
    </row>
    <row r="959">
      <c r="A959" s="45"/>
      <c r="F959" s="52"/>
      <c r="G959" s="53"/>
      <c r="P959" s="54"/>
    </row>
    <row r="960">
      <c r="A960" s="45"/>
      <c r="F960" s="52"/>
      <c r="G960" s="53"/>
      <c r="P960" s="54"/>
    </row>
    <row r="961">
      <c r="A961" s="45"/>
      <c r="F961" s="52"/>
      <c r="G961" s="53"/>
      <c r="P961" s="54"/>
    </row>
    <row r="962">
      <c r="A962" s="45"/>
      <c r="F962" s="52"/>
      <c r="G962" s="53"/>
      <c r="P962" s="54"/>
    </row>
    <row r="963">
      <c r="A963" s="45"/>
      <c r="F963" s="52"/>
      <c r="G963" s="53"/>
      <c r="P963" s="54"/>
    </row>
    <row r="964">
      <c r="A964" s="45"/>
      <c r="F964" s="52"/>
      <c r="G964" s="53"/>
      <c r="P964" s="54"/>
    </row>
    <row r="965">
      <c r="A965" s="45"/>
      <c r="F965" s="52"/>
      <c r="G965" s="53"/>
      <c r="P965" s="54"/>
    </row>
    <row r="966">
      <c r="A966" s="45"/>
      <c r="F966" s="52"/>
      <c r="G966" s="53"/>
      <c r="P966" s="54"/>
    </row>
    <row r="967">
      <c r="A967" s="45"/>
      <c r="F967" s="52"/>
      <c r="G967" s="53"/>
      <c r="P967" s="54"/>
    </row>
    <row r="968">
      <c r="A968" s="45"/>
      <c r="F968" s="52"/>
      <c r="G968" s="53"/>
      <c r="P968" s="54"/>
    </row>
    <row r="969">
      <c r="A969" s="45"/>
      <c r="F969" s="52"/>
      <c r="G969" s="53"/>
      <c r="P969" s="54"/>
    </row>
    <row r="970">
      <c r="A970" s="45"/>
      <c r="F970" s="52"/>
      <c r="G970" s="53"/>
      <c r="P970" s="54"/>
    </row>
    <row r="971">
      <c r="A971" s="45"/>
      <c r="F971" s="52"/>
      <c r="G971" s="53"/>
      <c r="P971" s="54"/>
    </row>
    <row r="972">
      <c r="A972" s="45"/>
      <c r="F972" s="52"/>
      <c r="G972" s="53"/>
      <c r="P972" s="54"/>
    </row>
    <row r="973">
      <c r="A973" s="45"/>
      <c r="F973" s="52"/>
      <c r="G973" s="53"/>
      <c r="P973" s="54"/>
    </row>
    <row r="974">
      <c r="A974" s="45"/>
      <c r="F974" s="52"/>
      <c r="G974" s="53"/>
      <c r="P974" s="54"/>
    </row>
    <row r="975">
      <c r="A975" s="45"/>
      <c r="F975" s="52"/>
      <c r="G975" s="53"/>
      <c r="P975" s="54"/>
    </row>
    <row r="976">
      <c r="A976" s="45"/>
      <c r="F976" s="52"/>
      <c r="G976" s="53"/>
      <c r="P976" s="54"/>
    </row>
    <row r="977">
      <c r="A977" s="45"/>
      <c r="F977" s="52"/>
      <c r="G977" s="53"/>
      <c r="P977" s="54"/>
    </row>
    <row r="978">
      <c r="A978" s="45"/>
      <c r="F978" s="52"/>
      <c r="G978" s="53"/>
      <c r="P978" s="54"/>
    </row>
    <row r="979">
      <c r="A979" s="45"/>
      <c r="F979" s="52"/>
      <c r="G979" s="53"/>
      <c r="P979" s="54"/>
    </row>
    <row r="980">
      <c r="A980" s="45"/>
      <c r="F980" s="52"/>
      <c r="G980" s="53"/>
      <c r="P980" s="54"/>
    </row>
    <row r="981">
      <c r="A981" s="45"/>
      <c r="F981" s="52"/>
      <c r="G981" s="53"/>
      <c r="P981" s="54"/>
    </row>
    <row r="982">
      <c r="A982" s="45"/>
      <c r="F982" s="52"/>
      <c r="G982" s="53"/>
      <c r="P982" s="54"/>
    </row>
    <row r="983">
      <c r="A983" s="45"/>
      <c r="F983" s="52"/>
      <c r="G983" s="53"/>
      <c r="P983" s="54"/>
    </row>
    <row r="984">
      <c r="A984" s="45"/>
      <c r="F984" s="52"/>
      <c r="G984" s="53"/>
      <c r="P984" s="54"/>
    </row>
    <row r="985">
      <c r="A985" s="45"/>
      <c r="F985" s="52"/>
      <c r="G985" s="53"/>
      <c r="P985" s="54"/>
    </row>
    <row r="986">
      <c r="A986" s="45"/>
      <c r="F986" s="52"/>
      <c r="G986" s="53"/>
      <c r="P986" s="54"/>
    </row>
  </sheetData>
  <mergeCells count="3">
    <mergeCell ref="A1:F1"/>
    <mergeCell ref="G1:P1"/>
    <mergeCell ref="Q1:Z1"/>
  </mergeCells>
  <conditionalFormatting sqref="C3:C49">
    <cfRule type="cellIs" dxfId="0" priority="1" operator="equal">
      <formula>"Trey"</formula>
    </cfRule>
  </conditionalFormatting>
  <conditionalFormatting sqref="C3:C49">
    <cfRule type="cellIs" dxfId="2" priority="2" operator="equal">
      <formula>"Trent"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7.0"/>
    <col customWidth="1" min="3" max="3" width="5.13"/>
    <col customWidth="1" min="4" max="4" width="3.63"/>
    <col customWidth="1" min="5" max="5" width="3.25"/>
    <col customWidth="1" min="6" max="6" width="4.5"/>
    <col customWidth="1" min="7" max="7" width="3.75"/>
    <col customWidth="1" min="8" max="8" width="4.63"/>
    <col customWidth="1" min="9" max="9" width="15.75"/>
    <col customWidth="1" min="10" max="10" width="6.63"/>
    <col customWidth="1" min="11" max="11" width="5.13"/>
    <col customWidth="1" min="12" max="12" width="6.25"/>
    <col customWidth="1" min="13" max="13" width="6.63"/>
    <col customWidth="1" min="14" max="14" width="6.38"/>
    <col customWidth="1" min="15" max="15" width="8.0"/>
  </cols>
  <sheetData>
    <row r="2">
      <c r="B2" s="55" t="s">
        <v>60</v>
      </c>
      <c r="C2" s="56"/>
      <c r="D2" s="56"/>
      <c r="E2" s="56"/>
      <c r="F2" s="56"/>
      <c r="G2" s="57"/>
      <c r="I2" s="55" t="s">
        <v>61</v>
      </c>
      <c r="J2" s="57"/>
      <c r="K2" s="58"/>
      <c r="L2" s="59" t="s">
        <v>62</v>
      </c>
      <c r="M2" s="60" t="s">
        <v>63</v>
      </c>
      <c r="N2" s="60" t="s">
        <v>64</v>
      </c>
      <c r="O2" s="61" t="s">
        <v>65</v>
      </c>
      <c r="P2" s="58"/>
    </row>
    <row r="3">
      <c r="B3" s="62"/>
      <c r="C3" s="63" t="str">
        <f>Rules!I3</f>
        <v>Trent</v>
      </c>
      <c r="E3" s="64"/>
      <c r="F3" s="65" t="str">
        <f>Rules!J3</f>
        <v>Trey</v>
      </c>
      <c r="G3" s="66"/>
      <c r="I3" s="67" t="s">
        <v>66</v>
      </c>
      <c r="J3" s="68" t="str">
        <f>IFS(Rules!D13&gt;Rules!D11,Rules!B13,Rules!D11&gt;Rules!D13,Rules!B11,Rules!D14=Rules!D12,"AS")</f>
        <v>#N/A</v>
      </c>
      <c r="K3" s="37"/>
      <c r="L3" s="69" t="str">
        <f>C3</f>
        <v>Trent</v>
      </c>
      <c r="M3" s="70">
        <f>Average('Match Log'!G3:G49)</f>
        <v>42.5</v>
      </c>
      <c r="N3" s="70">
        <f>Average('Match Log'!H3:H49)</f>
        <v>44.35</v>
      </c>
      <c r="O3" s="70">
        <f>Average('Match Log'!I3:I49)</f>
        <v>86.85</v>
      </c>
      <c r="P3" s="44"/>
    </row>
    <row r="4">
      <c r="B4" s="16" t="s">
        <v>40</v>
      </c>
      <c r="C4" s="44">
        <f>SUM('Match Log'!K3:K49)</f>
        <v>0</v>
      </c>
      <c r="D4" s="71">
        <f>C4/Stats!$J$8</f>
        <v>0</v>
      </c>
      <c r="E4" s="17" t="s">
        <v>9</v>
      </c>
      <c r="F4" s="44">
        <f>SUM('Match Log'!U3:U49)</f>
        <v>0</v>
      </c>
      <c r="G4" s="72">
        <f>F4/Stats!$J$8</f>
        <v>0</v>
      </c>
      <c r="I4" s="41" t="s">
        <v>33</v>
      </c>
      <c r="J4" s="68" t="str">
        <f>IFS(Rules!D13&gt;Rules!D11,Rules!D13-Rules!D11,Rules!D11&gt;Rules!D13,Rules!D11-Rules!D13)</f>
        <v>#N/A</v>
      </c>
      <c r="K4" s="37"/>
      <c r="L4" s="73" t="str">
        <f>F3</f>
        <v>Trey</v>
      </c>
      <c r="M4" s="74">
        <f>Average('Match Log'!Q3:Q49)</f>
        <v>42.1</v>
      </c>
      <c r="N4" s="74">
        <f>Average('Match Log'!R3:R49)</f>
        <v>44.95</v>
      </c>
      <c r="O4" s="74">
        <f>Average('Match Log'!S3:S49)</f>
        <v>87.05</v>
      </c>
      <c r="P4" s="44"/>
    </row>
    <row r="5">
      <c r="B5" s="16" t="s">
        <v>41</v>
      </c>
      <c r="C5" s="44">
        <f>SUM('Match Log'!L3:L49)</f>
        <v>16</v>
      </c>
      <c r="D5" s="71">
        <f>C5/Stats!$J$8</f>
        <v>0.04444444444</v>
      </c>
      <c r="E5" s="17" t="s">
        <v>15</v>
      </c>
      <c r="F5" s="44">
        <f>SUM('Match Log'!V3:V49)</f>
        <v>15</v>
      </c>
      <c r="G5" s="72">
        <f>F5/Stats!$J$8</f>
        <v>0.04166666667</v>
      </c>
      <c r="I5" s="67" t="s">
        <v>67</v>
      </c>
      <c r="J5" s="68" t="str">
        <f>IFS(Rules!D14&gt;Rules!D12,Rules!B13,Rules!D12&gt;Rules!D14,Rules!B11,Rules!D14=Rules!D12,"AS")</f>
        <v>Trent</v>
      </c>
      <c r="K5" s="37"/>
      <c r="M5" s="44"/>
      <c r="N5" s="44"/>
      <c r="O5" s="44"/>
      <c r="P5" s="44"/>
    </row>
    <row r="6">
      <c r="B6" s="16" t="s">
        <v>42</v>
      </c>
      <c r="C6" s="44">
        <f>SUM('Match Log'!M3:M49)</f>
        <v>117</v>
      </c>
      <c r="D6" s="71">
        <f>C6/Stats!$J$8</f>
        <v>0.325</v>
      </c>
      <c r="E6" s="17" t="s">
        <v>19</v>
      </c>
      <c r="F6" s="44">
        <f>SUM('Match Log'!W3:W49)</f>
        <v>130</v>
      </c>
      <c r="G6" s="72">
        <f>F6/Stats!$J$8</f>
        <v>0.3611111111</v>
      </c>
      <c r="I6" s="75" t="s">
        <v>68</v>
      </c>
      <c r="J6" s="76">
        <f>IFS(Rules!D14&gt;Rules!D12,Rules!D14-Rules!D12,Rules!D12&gt;Rules!D14,Rules!D12-Rules!D14)</f>
        <v>10.5</v>
      </c>
      <c r="K6" s="37"/>
      <c r="M6" s="77"/>
      <c r="N6" s="77"/>
      <c r="O6" s="77"/>
      <c r="P6" s="77"/>
    </row>
    <row r="7">
      <c r="B7" s="16" t="s">
        <v>43</v>
      </c>
      <c r="C7" s="44">
        <f>SUM('Match Log'!N3:N49)</f>
        <v>147</v>
      </c>
      <c r="D7" s="71">
        <f>C7/Stats!$J$8</f>
        <v>0.4083333333</v>
      </c>
      <c r="E7" s="17" t="s">
        <v>23</v>
      </c>
      <c r="F7" s="44">
        <f>SUM('Match Log'!X3:X49)</f>
        <v>132</v>
      </c>
      <c r="G7" s="72">
        <f>F7/Stats!$J$8</f>
        <v>0.3666666667</v>
      </c>
    </row>
    <row r="8">
      <c r="B8" s="16" t="s">
        <v>44</v>
      </c>
      <c r="C8" s="44">
        <f>SUM('Match Log'!O3:O49)</f>
        <v>73</v>
      </c>
      <c r="D8" s="71">
        <f>C8/Stats!$J$8</f>
        <v>0.2027777778</v>
      </c>
      <c r="E8" s="17" t="s">
        <v>27</v>
      </c>
      <c r="F8" s="44">
        <f>SUM('Match Log'!Y3:Y49)</f>
        <v>64</v>
      </c>
      <c r="G8" s="72">
        <f>F8/Stats!$J$8</f>
        <v>0.1777777778</v>
      </c>
      <c r="I8" s="78" t="s">
        <v>69</v>
      </c>
      <c r="J8" s="79">
        <f>SUM(Stats!C4:C9)</f>
        <v>360</v>
      </c>
    </row>
    <row r="9">
      <c r="B9" s="19" t="s">
        <v>45</v>
      </c>
      <c r="C9" s="80">
        <f>SUM('Match Log'!P3:P49)</f>
        <v>7</v>
      </c>
      <c r="D9" s="81">
        <f>C9/Stats!$J$8</f>
        <v>0.01944444444</v>
      </c>
      <c r="E9" s="20" t="s">
        <v>70</v>
      </c>
      <c r="F9" s="80">
        <f>SUM('Match Log'!Z3:Z49)</f>
        <v>19</v>
      </c>
      <c r="G9" s="82">
        <f>F9/Stats!$J$8</f>
        <v>0.05277777778</v>
      </c>
      <c r="I9" s="14" t="s">
        <v>71</v>
      </c>
      <c r="J9" s="83">
        <f>J8/18</f>
        <v>20</v>
      </c>
    </row>
  </sheetData>
  <mergeCells count="4">
    <mergeCell ref="B2:G2"/>
    <mergeCell ref="I2:J2"/>
    <mergeCell ref="C3:D3"/>
    <mergeCell ref="F3:G3"/>
  </mergeCells>
  <conditionalFormatting sqref="J3 L3:L4 M3:P3 J5">
    <cfRule type="cellIs" dxfId="3" priority="1" operator="equal">
      <formula>"Trey"</formula>
    </cfRule>
  </conditionalFormatting>
  <conditionalFormatting sqref="J3 L3:L4 M3:P3 J5">
    <cfRule type="cellIs" dxfId="4" priority="2" operator="equal">
      <formula>"Trent"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  <col customWidth="1" min="27" max="27" width="7.75"/>
    <col customWidth="1" min="28" max="28" width="9.88"/>
    <col customWidth="1" min="29" max="29" width="5.13"/>
    <col customWidth="1" min="30" max="30" width="3.25"/>
    <col customWidth="1" min="31" max="31" width="4.5"/>
    <col customWidth="1" min="32" max="32" width="4.38"/>
    <col customWidth="1" min="33" max="38" width="8.13"/>
    <col customWidth="1" min="39" max="39" width="11.5"/>
    <col customWidth="1" min="40" max="49" width="8.13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</row>
    <row r="2">
      <c r="A2" s="8"/>
      <c r="B2" s="84" t="s">
        <v>72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  <c r="AF2" s="1"/>
    </row>
    <row r="3">
      <c r="A3" s="8"/>
      <c r="B3" s="89" t="s">
        <v>75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 t="s">
        <v>77</v>
      </c>
      <c r="AE3" s="93" t="str">
        <f>Rules!J3</f>
        <v>Trey</v>
      </c>
      <c r="AF3" s="1"/>
    </row>
    <row r="4">
      <c r="A4" s="8"/>
      <c r="B4" s="89" t="s">
        <v>18</v>
      </c>
      <c r="C4" s="37"/>
      <c r="D4" s="37"/>
      <c r="E4" s="37"/>
      <c r="F4" s="37"/>
      <c r="G4" s="37"/>
      <c r="H4" s="37"/>
      <c r="I4" s="37"/>
      <c r="J4" s="37"/>
      <c r="K4" s="37"/>
      <c r="L4" s="94">
        <f t="shared" ref="L4:L5" si="1">SUM(C4:K4)</f>
        <v>0</v>
      </c>
      <c r="M4" s="37"/>
      <c r="N4" s="37"/>
      <c r="O4" s="37"/>
      <c r="P4" s="37"/>
      <c r="Q4" s="37"/>
      <c r="R4" s="37"/>
      <c r="S4" s="37"/>
      <c r="T4" s="37"/>
      <c r="U4" s="37"/>
      <c r="V4" s="94">
        <f t="shared" ref="V4:V5" si="2">SUM(M4:U4)</f>
        <v>0</v>
      </c>
      <c r="W4" s="95">
        <f t="shared" ref="W4:W5" si="3">SUM(L4+V4)</f>
        <v>0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  <c r="AF4" s="1"/>
    </row>
    <row r="5">
      <c r="A5" s="8"/>
      <c r="B5" s="96" t="str">
        <f>AC3</f>
        <v>Trent</v>
      </c>
      <c r="C5" s="97"/>
      <c r="D5" s="97"/>
      <c r="E5" s="97"/>
      <c r="F5" s="97"/>
      <c r="G5" s="97"/>
      <c r="H5" s="97"/>
      <c r="I5" s="97"/>
      <c r="J5" s="97"/>
      <c r="K5" s="97"/>
      <c r="L5" s="98">
        <f t="shared" si="1"/>
        <v>0</v>
      </c>
      <c r="M5" s="97"/>
      <c r="N5" s="97"/>
      <c r="O5" s="97"/>
      <c r="P5" s="97"/>
      <c r="Q5" s="97"/>
      <c r="R5" s="97"/>
      <c r="S5" s="97"/>
      <c r="T5" s="97"/>
      <c r="U5" s="97"/>
      <c r="V5" s="98">
        <f t="shared" si="2"/>
        <v>0</v>
      </c>
      <c r="W5" s="99">
        <f t="shared" si="3"/>
        <v>0</v>
      </c>
      <c r="X5" s="100" t="str">
        <f>IFS(W5&gt;$W$4,"+",$W$4&gt;W5,"")</f>
        <v>#N/A</v>
      </c>
      <c r="Y5" s="100">
        <f>W5-$W$4</f>
        <v>0</v>
      </c>
      <c r="Z5" s="101" t="str">
        <f>X5&amp;Y5</f>
        <v>#N/A</v>
      </c>
      <c r="AA5" s="1"/>
      <c r="AB5" s="16" t="s">
        <v>41</v>
      </c>
      <c r="AC5" s="44">
        <f>COUNTIF($C$6:$U$6,"🐥")</f>
        <v>0</v>
      </c>
      <c r="AD5" s="17" t="s">
        <v>15</v>
      </c>
      <c r="AE5" s="68">
        <f>COUNTIF($C$8:$U$8,"🐥")</f>
        <v>0</v>
      </c>
      <c r="AF5" s="1"/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🚩</v>
      </c>
      <c r="E6" s="103" t="str">
        <f t="shared" si="4"/>
        <v>🚩</v>
      </c>
      <c r="F6" s="103" t="str">
        <f t="shared" si="4"/>
        <v>🚩</v>
      </c>
      <c r="G6" s="103" t="str">
        <f t="shared" si="4"/>
        <v>🚩</v>
      </c>
      <c r="H6" s="103" t="str">
        <f t="shared" si="4"/>
        <v>🚩</v>
      </c>
      <c r="I6" s="103" t="str">
        <f t="shared" si="4"/>
        <v>🚩</v>
      </c>
      <c r="J6" s="103" t="str">
        <f t="shared" si="4"/>
        <v>🚩</v>
      </c>
      <c r="K6" s="103" t="str">
        <f t="shared" si="4"/>
        <v>🚩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🚩</v>
      </c>
      <c r="O6" s="103" t="str">
        <f t="shared" si="5"/>
        <v>🚩</v>
      </c>
      <c r="P6" s="103" t="str">
        <f t="shared" si="5"/>
        <v>🚩</v>
      </c>
      <c r="Q6" s="103" t="str">
        <f t="shared" si="5"/>
        <v>🚩</v>
      </c>
      <c r="R6" s="103" t="str">
        <f t="shared" si="5"/>
        <v>🚩</v>
      </c>
      <c r="S6" s="103" t="str">
        <f t="shared" si="5"/>
        <v>🚩</v>
      </c>
      <c r="T6" s="103" t="str">
        <f t="shared" si="5"/>
        <v>🚩</v>
      </c>
      <c r="U6" s="103" t="str">
        <f t="shared" si="5"/>
        <v>🚩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18</v>
      </c>
      <c r="AD6" s="17" t="s">
        <v>19</v>
      </c>
      <c r="AE6" s="68">
        <f>COUNTIF($C$8:$U$8,"🚩")</f>
        <v>18</v>
      </c>
      <c r="AF6" s="1"/>
    </row>
    <row r="7">
      <c r="A7" s="8"/>
      <c r="B7" s="107" t="str">
        <f>AE3</f>
        <v>Trey</v>
      </c>
      <c r="C7" s="97"/>
      <c r="D7" s="97"/>
      <c r="E7" s="97"/>
      <c r="F7" s="97"/>
      <c r="G7" s="97"/>
      <c r="H7" s="97"/>
      <c r="I7" s="97"/>
      <c r="J7" s="97"/>
      <c r="K7" s="97"/>
      <c r="L7" s="98">
        <f>SUM(C7:K7)</f>
        <v>0</v>
      </c>
      <c r="M7" s="97"/>
      <c r="N7" s="97"/>
      <c r="O7" s="97"/>
      <c r="P7" s="97"/>
      <c r="Q7" s="97"/>
      <c r="R7" s="97"/>
      <c r="S7" s="97"/>
      <c r="T7" s="97"/>
      <c r="U7" s="97"/>
      <c r="V7" s="98">
        <f>SUM(M7:U7)</f>
        <v>0</v>
      </c>
      <c r="W7" s="99">
        <f>SUM(L7+V7)</f>
        <v>0</v>
      </c>
      <c r="X7" s="100" t="str">
        <f>IFS(W7&gt;$W$4,"+",$W$4&gt;W7,"")</f>
        <v>#N/A</v>
      </c>
      <c r="Y7" s="100">
        <f>W7-$W$4</f>
        <v>0</v>
      </c>
      <c r="Z7" s="101" t="str">
        <f>X7&amp;Y7</f>
        <v>#N/A</v>
      </c>
      <c r="AB7" s="16" t="s">
        <v>43</v>
      </c>
      <c r="AC7" s="44">
        <f>COUNTIF($C$6:$U$6,"🧻")</f>
        <v>0</v>
      </c>
      <c r="AD7" s="17" t="s">
        <v>23</v>
      </c>
      <c r="AE7" s="68">
        <f>COUNTIF($C$8:$U$8,"🧻")</f>
        <v>0</v>
      </c>
    </row>
    <row r="8">
      <c r="A8" s="8"/>
      <c r="B8" s="108"/>
      <c r="C8" s="80" t="str">
        <f t="shared" ref="C8:K8" si="6">IFS(C$4-C7=1,$AD$5,C$4-C7=2,$AD$4,C$4=C7,$AD$6,C$4-C7=-1,$AD$7,C$4-C7=-2,$AD$8,C$4-C7=-3,$AD$9)</f>
        <v>🚩</v>
      </c>
      <c r="D8" s="80" t="str">
        <f t="shared" si="6"/>
        <v>🚩</v>
      </c>
      <c r="E8" s="80" t="str">
        <f t="shared" si="6"/>
        <v>🚩</v>
      </c>
      <c r="F8" s="80" t="str">
        <f t="shared" si="6"/>
        <v>🚩</v>
      </c>
      <c r="G8" s="80" t="str">
        <f t="shared" si="6"/>
        <v>🚩</v>
      </c>
      <c r="H8" s="80" t="str">
        <f t="shared" si="6"/>
        <v>🚩</v>
      </c>
      <c r="I8" s="80" t="str">
        <f t="shared" si="6"/>
        <v>🚩</v>
      </c>
      <c r="J8" s="80" t="str">
        <f t="shared" si="6"/>
        <v>🚩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🚩</v>
      </c>
      <c r="O8" s="80" t="str">
        <f t="shared" si="7"/>
        <v>🚩</v>
      </c>
      <c r="P8" s="80" t="str">
        <f t="shared" si="7"/>
        <v>🚩</v>
      </c>
      <c r="Q8" s="80" t="str">
        <f t="shared" si="7"/>
        <v>🚩</v>
      </c>
      <c r="R8" s="80" t="str">
        <f t="shared" si="7"/>
        <v>🚩</v>
      </c>
      <c r="S8" s="80" t="str">
        <f t="shared" si="7"/>
        <v>🚩</v>
      </c>
      <c r="T8" s="80" t="str">
        <f t="shared" si="7"/>
        <v>🚩</v>
      </c>
      <c r="U8" s="80" t="str">
        <f t="shared" si="7"/>
        <v>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0</v>
      </c>
      <c r="AD8" s="17" t="s">
        <v>27</v>
      </c>
      <c r="AE8" s="68">
        <f>COUNTIF($C$8:$U$8,"💩")</f>
        <v>0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0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0</v>
      </c>
      <c r="AD10" s="113"/>
      <c r="AE10" s="114">
        <f>Count(C23:U23)</f>
        <v>0</v>
      </c>
      <c r="AF10" s="1"/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0</v>
      </c>
      <c r="AD11" s="80"/>
      <c r="AE11" s="112">
        <f>U25</f>
        <v>0</v>
      </c>
      <c r="AF11" s="1"/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AS</v>
      </c>
      <c r="AD12" s="116" t="str">
        <f>IFS(AC11&gt;AE11,AC11-AE11,AE11&gt;AC11,AE11-AC11,AC11=AE11,"AS")</f>
        <v>AS</v>
      </c>
      <c r="AE12" s="116" t="str">
        <f>AD12*AD3</f>
        <v>#VALUE!</v>
      </c>
      <c r="AF12" s="1"/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AF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AF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AF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F16" s="1"/>
    </row>
    <row r="17" ht="14.25" hidden="1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AF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 t="str">
        <f t="shared" si="8"/>
        <v>AS</v>
      </c>
      <c r="E18" s="1" t="str">
        <f t="shared" si="8"/>
        <v>AS</v>
      </c>
      <c r="F18" s="1" t="str">
        <f t="shared" si="8"/>
        <v>AS</v>
      </c>
      <c r="G18" s="1" t="str">
        <f t="shared" si="8"/>
        <v>AS</v>
      </c>
      <c r="H18" s="1" t="str">
        <f t="shared" si="8"/>
        <v>AS</v>
      </c>
      <c r="I18" s="1" t="str">
        <f t="shared" si="8"/>
        <v>AS</v>
      </c>
      <c r="J18" s="1" t="str">
        <f t="shared" si="8"/>
        <v>AS</v>
      </c>
      <c r="K18" s="1" t="str">
        <f t="shared" si="8"/>
        <v>AS</v>
      </c>
      <c r="L18" s="1" t="str">
        <f t="shared" si="8"/>
        <v>AS</v>
      </c>
      <c r="M18" s="1" t="str">
        <f t="shared" si="8"/>
        <v>AS</v>
      </c>
      <c r="N18" s="1" t="str">
        <f t="shared" si="8"/>
        <v>AS</v>
      </c>
      <c r="O18" s="1" t="str">
        <f t="shared" si="8"/>
        <v>AS</v>
      </c>
      <c r="P18" s="1" t="str">
        <f t="shared" si="8"/>
        <v>AS</v>
      </c>
      <c r="Q18" s="1" t="str">
        <f t="shared" si="8"/>
        <v>AS</v>
      </c>
      <c r="R18" s="1" t="str">
        <f t="shared" si="8"/>
        <v>AS</v>
      </c>
      <c r="S18" s="1" t="str">
        <f t="shared" si="8"/>
        <v>AS</v>
      </c>
      <c r="T18" s="1" t="str">
        <f t="shared" si="8"/>
        <v>AS</v>
      </c>
      <c r="U18" s="1" t="str">
        <f t="shared" si="8"/>
        <v>AS</v>
      </c>
      <c r="V18" s="1"/>
      <c r="W18" s="1"/>
      <c r="AF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/>
      </c>
      <c r="F19" s="1" t="str">
        <f t="shared" si="9"/>
        <v/>
      </c>
      <c r="G19" s="1" t="str">
        <f t="shared" si="9"/>
        <v/>
      </c>
      <c r="H19" s="1" t="str">
        <f t="shared" si="9"/>
        <v/>
      </c>
      <c r="I19" s="1" t="str">
        <f t="shared" si="9"/>
        <v/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/>
      </c>
      <c r="P19" s="1" t="str">
        <f t="shared" si="10"/>
        <v/>
      </c>
      <c r="Q19" s="1" t="str">
        <f t="shared" si="10"/>
        <v/>
      </c>
      <c r="R19" s="1" t="str">
        <f t="shared" si="10"/>
        <v/>
      </c>
      <c r="S19" s="1" t="str">
        <f t="shared" si="10"/>
        <v/>
      </c>
      <c r="T19" s="1" t="str">
        <f t="shared" si="10"/>
        <v/>
      </c>
      <c r="U19" s="1" t="str">
        <f t="shared" si="10"/>
        <v/>
      </c>
      <c r="V19" s="1"/>
      <c r="W19" s="1"/>
      <c r="AF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/>
      </c>
      <c r="E20" s="1" t="str">
        <f t="shared" si="11"/>
        <v/>
      </c>
      <c r="F20" s="1" t="str">
        <f t="shared" si="11"/>
        <v/>
      </c>
      <c r="G20" s="1" t="str">
        <f t="shared" si="11"/>
        <v/>
      </c>
      <c r="H20" s="1" t="str">
        <f t="shared" si="11"/>
        <v/>
      </c>
      <c r="I20" s="1" t="str">
        <f t="shared" si="11"/>
        <v/>
      </c>
      <c r="J20" s="1" t="str">
        <f t="shared" si="11"/>
        <v/>
      </c>
      <c r="K20" s="1" t="str">
        <f t="shared" si="11"/>
        <v/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/>
      </c>
      <c r="S20" s="1" t="str">
        <f t="shared" si="12"/>
        <v/>
      </c>
      <c r="T20" s="1" t="str">
        <f t="shared" si="12"/>
        <v/>
      </c>
      <c r="U20" s="1" t="str">
        <f t="shared" si="12"/>
        <v/>
      </c>
      <c r="V20" s="1"/>
      <c r="W20" s="1"/>
      <c r="AF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  <c r="AF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 t="str">
        <f>IFS(E19=$AD$4,Rules!$G$3,E19=$AD$5,Rules!$G$4,E19=$AD$6,Rules!$G$5,E19=$AD$7,Rules!$G$6,E19=$AD$8,Rules!$G$7,E19="",)</f>
        <v/>
      </c>
      <c r="F22" s="1" t="str">
        <f>IFS(F19=$AD$4,Rules!$G$3,F19=$AD$5,Rules!$G$4,F19=$AD$6,Rules!$G$5,F19=$AD$7,Rules!$G$6,F19=$AD$8,Rules!$G$7,F19="",)</f>
        <v/>
      </c>
      <c r="G22" s="1" t="str">
        <f>IFS(G19=$AD$4,Rules!$G$3,G19=$AD$5,Rules!$G$4,G19=$AD$6,Rules!$G$5,G19=$AD$7,Rules!$G$6,G19=$AD$8,Rules!$G$7,G19="",)</f>
        <v/>
      </c>
      <c r="H22" s="1" t="str">
        <f>IFS(H19=$AD$4,Rules!$G$3,H19=$AD$5,Rules!$G$4,H19=$AD$6,Rules!$G$5,H19=$AD$7,Rules!$G$6,H19=$AD$8,Rules!$G$7,H19="",)</f>
        <v/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 t="str">
        <f>IFS(O19=$AD$4,Rules!$G$3,O19=$AD$5,Rules!$G$4,O19=$AD$6,Rules!$G$5,O19=$AD$7,Rules!$G$6,O19=$AD$8,Rules!$G$7,O19="",)</f>
        <v/>
      </c>
      <c r="P22" s="1" t="str">
        <f>IFS(P19=$AD$4,Rules!$G$3,P19=$AD$5,Rules!$G$4,P19=$AD$6,Rules!$G$5,P19=$AD$7,Rules!$G$6,P19=$AD$8,Rules!$G$7,P19="",)</f>
        <v/>
      </c>
      <c r="Q22" s="1" t="str">
        <f>IFS(Q19=$AD$4,Rules!$G$3,Q19=$AD$5,Rules!$G$4,Q19=$AD$6,Rules!$G$5,Q19=$AD$7,Rules!$G$6,Q19=$AD$8,Rules!$G$7,Q19="",)</f>
        <v/>
      </c>
      <c r="R22" s="1" t="str">
        <f>IFS(R19=$AD$4,Rules!$G$3,R19=$AD$5,Rules!$G$4,R19=$AD$6,Rules!$G$5,R19=$AD$7,Rules!$G$6,R19=$AD$8,Rules!$G$7,R19="",)</f>
        <v/>
      </c>
      <c r="S22" s="1" t="str">
        <f>IFS(S19=$AD$4,Rules!$G$3,S19=$AD$5,Rules!$G$4,S19=$AD$6,Rules!$G$5,S19=$AD$7,Rules!$G$6,S19=$AD$8,Rules!$G$7,S19="",)</f>
        <v/>
      </c>
      <c r="T22" s="1" t="str">
        <f>IFS(T19=$AD$4,Rules!$G$3,T19=$AD$5,Rules!$G$4,T19=$AD$6,Rules!$G$5,T19=$AD$7,Rules!$G$6,T19=$AD$8,Rules!$G$7,T19="",)</f>
        <v/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  <c r="AF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 t="str">
        <f>IFS(F20=$AD$4,Rules!$G$3,F20=$AD$5,Rules!$G$4,F20=$AD$6,Rules!$G$5,F20=$AD$7,Rules!$G$6,F20=$AD$8,Rules!$G$7,F20="",)</f>
        <v/>
      </c>
      <c r="G23" s="1" t="str">
        <f>IFS(G20=$AD$4,Rules!$G$3,G20=$AD$5,Rules!$G$4,G20=$AD$6,Rules!$G$5,G20=$AD$7,Rules!$G$6,G20=$AD$8,Rules!$G$7,G20="",)</f>
        <v/>
      </c>
      <c r="H23" s="1" t="str">
        <f>IFS(H20=$AD$4,Rules!$G$3,H20=$AD$5,Rules!$G$4,H20=$AD$6,Rules!$G$5,H20=$AD$7,Rules!$G$6,H20=$AD$8,Rules!$G$7,H20="",)</f>
        <v/>
      </c>
      <c r="I23" s="1" t="str">
        <f>IFS(I20=$AD$4,Rules!$G$3,I20=$AD$5,Rules!$G$4,I20=$AD$6,Rules!$G$5,I20=$AD$7,Rules!$G$6,I20=$AD$8,Rules!$G$7,I20="",)</f>
        <v/>
      </c>
      <c r="J23" s="1" t="str">
        <f>IFS(J20=$AD$4,Rules!$G$3,J20=$AD$5,Rules!$G$4,J20=$AD$6,Rules!$G$5,J20=$AD$7,Rules!$G$6,J20=$AD$8,Rules!$G$7,J20="",)</f>
        <v/>
      </c>
      <c r="K23" s="1" t="str">
        <f>IFS(K20=$AD$4,Rules!$G$3,K20=$AD$5,Rules!$G$4,K20=$AD$6,Rules!$G$5,K20=$AD$7,Rules!$G$6,K20=$AD$8,Rules!$G$7,K20="",)</f>
        <v/>
      </c>
      <c r="L23" s="1"/>
      <c r="M23" s="1" t="str">
        <f>IFS(M20=$AD$4,Rules!$G$3,M20=$AD$5,Rules!$G$4,M20=$AD$6,Rules!$G$5,M20=$AD$7,Rules!$G$6,M20=$AD$8,Rules!$G$7,M20="",)</f>
        <v/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 t="str">
        <f>IFS(S20=$AD$4,Rules!$G$3,S20=$AD$5,Rules!$G$4,S20=$AD$6,Rules!$G$5,S20=$AD$7,Rules!$G$6,S20=$AD$8,Rules!$G$7,S20="",)</f>
        <v/>
      </c>
      <c r="T23" s="1" t="str">
        <f>IFS(T20=$AD$4,Rules!$G$3,T20=$AD$5,Rules!$G$4,T20=$AD$6,Rules!$G$5,T20=$AD$7,Rules!$G$6,T20=$AD$8,Rules!$G$7,T20="",)</f>
        <v/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  <c r="AF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0</v>
      </c>
      <c r="F24" s="1">
        <f t="shared" si="13"/>
        <v>0</v>
      </c>
      <c r="G24" s="1">
        <f t="shared" si="13"/>
        <v>0</v>
      </c>
      <c r="H24" s="1">
        <f t="shared" si="13"/>
        <v>0</v>
      </c>
      <c r="I24" s="1">
        <f t="shared" si="13"/>
        <v>0</v>
      </c>
      <c r="J24" s="1">
        <f t="shared" si="13"/>
        <v>0</v>
      </c>
      <c r="K24" s="1">
        <f t="shared" si="13"/>
        <v>0</v>
      </c>
      <c r="L24" s="1">
        <f t="shared" si="13"/>
        <v>0</v>
      </c>
      <c r="M24" s="1">
        <f t="shared" si="13"/>
        <v>0</v>
      </c>
      <c r="N24" s="1">
        <f t="shared" si="13"/>
        <v>0</v>
      </c>
      <c r="O24" s="1">
        <f t="shared" si="13"/>
        <v>0</v>
      </c>
      <c r="P24" s="1">
        <f t="shared" si="13"/>
        <v>0</v>
      </c>
      <c r="Q24" s="1">
        <f t="shared" si="13"/>
        <v>0</v>
      </c>
      <c r="R24" s="1">
        <f t="shared" si="13"/>
        <v>0</v>
      </c>
      <c r="S24" s="1">
        <f t="shared" si="13"/>
        <v>0</v>
      </c>
      <c r="T24" s="1">
        <f t="shared" si="13"/>
        <v>0</v>
      </c>
      <c r="U24" s="1">
        <f t="shared" si="13"/>
        <v>0</v>
      </c>
      <c r="V24" s="1"/>
      <c r="W24" s="1"/>
      <c r="AC24" s="1"/>
      <c r="AD24" s="1"/>
      <c r="AE24" s="1"/>
      <c r="AF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0</v>
      </c>
      <c r="E25" s="1">
        <f t="shared" si="15"/>
        <v>0</v>
      </c>
      <c r="F25" s="1">
        <f t="shared" si="15"/>
        <v>0</v>
      </c>
      <c r="G25" s="1">
        <f t="shared" si="15"/>
        <v>0</v>
      </c>
      <c r="H25" s="1">
        <f t="shared" si="15"/>
        <v>0</v>
      </c>
      <c r="I25" s="1">
        <f t="shared" si="15"/>
        <v>0</v>
      </c>
      <c r="J25" s="1">
        <f t="shared" si="15"/>
        <v>0</v>
      </c>
      <c r="K25" s="1">
        <f t="shared" si="15"/>
        <v>0</v>
      </c>
      <c r="L25" s="1">
        <f t="shared" si="15"/>
        <v>0</v>
      </c>
      <c r="M25" s="1">
        <f t="shared" si="15"/>
        <v>0</v>
      </c>
      <c r="N25" s="1">
        <f t="shared" si="15"/>
        <v>0</v>
      </c>
      <c r="O25" s="1">
        <f t="shared" si="15"/>
        <v>0</v>
      </c>
      <c r="P25" s="1">
        <f t="shared" si="15"/>
        <v>0</v>
      </c>
      <c r="Q25" s="1">
        <f t="shared" si="15"/>
        <v>0</v>
      </c>
      <c r="R25" s="1">
        <f t="shared" si="15"/>
        <v>0</v>
      </c>
      <c r="S25" s="1">
        <f t="shared" si="15"/>
        <v>0</v>
      </c>
      <c r="T25" s="1">
        <f t="shared" si="15"/>
        <v>0</v>
      </c>
      <c r="U25" s="1">
        <f t="shared" si="15"/>
        <v>0</v>
      </c>
      <c r="V25" s="1"/>
      <c r="W25" s="1"/>
      <c r="AC25" s="1"/>
      <c r="AD25" s="1"/>
      <c r="AE25" s="1"/>
      <c r="AF25" s="1"/>
    </row>
    <row r="26" hidden="1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AC26" s="1"/>
      <c r="AD26" s="1"/>
      <c r="AE26" s="1"/>
      <c r="AF26" s="1"/>
    </row>
    <row r="27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AC27" s="1"/>
      <c r="AD27" s="1"/>
      <c r="AE27" s="1"/>
      <c r="AF27" s="1"/>
    </row>
    <row r="28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AC28" s="1"/>
      <c r="AD28" s="1"/>
      <c r="AE28" s="1"/>
      <c r="AF28" s="1"/>
    </row>
    <row r="29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AC29" s="1"/>
      <c r="AD29" s="1"/>
      <c r="AE29" s="1"/>
      <c r="AF29" s="1"/>
    </row>
    <row r="30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AC30" s="1"/>
      <c r="AD30" s="1"/>
      <c r="AE30" s="1"/>
      <c r="AF30" s="1"/>
    </row>
    <row r="3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AC31" s="1"/>
      <c r="AD31" s="1"/>
      <c r="AE31" s="1"/>
      <c r="AF31" s="1"/>
    </row>
    <row r="3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AC32" s="1"/>
      <c r="AD32" s="1"/>
      <c r="AE32" s="1"/>
      <c r="AF32" s="1"/>
    </row>
    <row r="3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AC33" s="1"/>
      <c r="AD33" s="1"/>
      <c r="AE33" s="1"/>
      <c r="AF33" s="1"/>
    </row>
    <row r="34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AC34" s="1"/>
      <c r="AD34" s="1"/>
      <c r="AE34" s="1"/>
      <c r="AF34" s="1"/>
    </row>
    <row r="3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AC35" s="1"/>
      <c r="AD35" s="1"/>
      <c r="AE35" s="1"/>
      <c r="AF35" s="1"/>
    </row>
    <row r="36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AC36" s="1"/>
      <c r="AD36" s="1"/>
      <c r="AE36" s="1"/>
      <c r="AF36" s="1"/>
    </row>
    <row r="37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AC37" s="1"/>
      <c r="AD37" s="1"/>
      <c r="AE37" s="1"/>
      <c r="AF37" s="1"/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AC38" s="1"/>
      <c r="AD38" s="1"/>
      <c r="AE38" s="1"/>
      <c r="AF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AC39" s="1"/>
      <c r="AD39" s="1"/>
      <c r="AE39" s="1"/>
      <c r="AF39" s="1"/>
    </row>
    <row r="40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AC40" s="1"/>
      <c r="AD40" s="1"/>
      <c r="AE40" s="1"/>
      <c r="AF40" s="1"/>
    </row>
    <row r="4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AC41" s="1"/>
      <c r="AD41" s="1"/>
      <c r="AE41" s="1"/>
      <c r="AF41" s="1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AC42" s="1"/>
      <c r="AD42" s="1"/>
      <c r="AE42" s="1"/>
      <c r="AF42" s="1"/>
    </row>
    <row r="4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AC43" s="1"/>
      <c r="AD43" s="1"/>
      <c r="AE43" s="1"/>
      <c r="AF43" s="1"/>
    </row>
    <row r="4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AC44" s="1"/>
      <c r="AD44" s="1"/>
      <c r="AE44" s="1"/>
      <c r="AF44" s="1"/>
    </row>
    <row r="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AC45" s="1"/>
      <c r="AD45" s="1"/>
      <c r="AE45" s="1"/>
      <c r="AF45" s="1"/>
    </row>
    <row r="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C46" s="1"/>
      <c r="AD46" s="1"/>
      <c r="AE46" s="1"/>
      <c r="AF46" s="1"/>
    </row>
    <row r="47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C47" s="1"/>
      <c r="AD47" s="1"/>
      <c r="AE47" s="1"/>
      <c r="AF47" s="1"/>
    </row>
    <row r="4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AC48" s="1"/>
      <c r="AD48" s="1"/>
      <c r="AE48" s="1"/>
      <c r="AF48" s="1"/>
    </row>
    <row r="49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AC49" s="1"/>
      <c r="AD49" s="1"/>
      <c r="AE49" s="1"/>
      <c r="AF49" s="1"/>
    </row>
    <row r="50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AC50" s="1"/>
      <c r="AD50" s="1"/>
      <c r="AE50" s="1"/>
      <c r="AF50" s="1"/>
    </row>
    <row r="5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AC51" s="1"/>
      <c r="AD51" s="1"/>
      <c r="AE51" s="1"/>
      <c r="AF51" s="1"/>
    </row>
    <row r="5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AC52" s="1"/>
      <c r="AD52" s="1"/>
      <c r="AE52" s="1"/>
      <c r="AF52" s="1"/>
    </row>
    <row r="5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AC53" s="1"/>
      <c r="AD53" s="1"/>
      <c r="AE53" s="1"/>
      <c r="AF53" s="1"/>
    </row>
    <row r="5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AC54" s="1"/>
      <c r="AD54" s="1"/>
      <c r="AE54" s="1"/>
      <c r="AF54" s="1"/>
    </row>
    <row r="5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AC55" s="1"/>
      <c r="AD55" s="1"/>
      <c r="AE55" s="1"/>
      <c r="AF55" s="1"/>
    </row>
    <row r="56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AC56" s="1"/>
      <c r="AD56" s="1"/>
      <c r="AE56" s="1"/>
      <c r="AF56" s="1"/>
    </row>
    <row r="57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AC57" s="1"/>
      <c r="AD57" s="1"/>
      <c r="AE57" s="1"/>
      <c r="AF57" s="1"/>
    </row>
    <row r="58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AC58" s="1"/>
      <c r="AD58" s="1"/>
      <c r="AE58" s="1"/>
      <c r="AF58" s="1"/>
    </row>
    <row r="59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AC59" s="1"/>
      <c r="AD59" s="1"/>
      <c r="AE59" s="1"/>
      <c r="AF59" s="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C60" s="1"/>
      <c r="AD60" s="1"/>
      <c r="AE60" s="1"/>
      <c r="AF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AC61" s="1"/>
      <c r="AD61" s="1"/>
      <c r="AE61" s="1"/>
      <c r="AF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AC62" s="1"/>
      <c r="AD62" s="1"/>
      <c r="AE62" s="1"/>
      <c r="AF62" s="1"/>
    </row>
    <row r="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AC63" s="1"/>
      <c r="AD63" s="1"/>
      <c r="AE63" s="1"/>
      <c r="AF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AC64" s="1"/>
      <c r="AD64" s="1"/>
      <c r="AE64" s="1"/>
      <c r="AF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AC65" s="1"/>
      <c r="AD65" s="1"/>
      <c r="AE65" s="1"/>
      <c r="AF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AC66" s="1"/>
      <c r="AD66" s="1"/>
      <c r="AE66" s="1"/>
      <c r="AF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AC67" s="1"/>
      <c r="AD67" s="1"/>
      <c r="AE67" s="1"/>
      <c r="AF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AC68" s="1"/>
      <c r="AD68" s="1"/>
      <c r="AE68" s="1"/>
      <c r="AF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AC69" s="1"/>
      <c r="AD69" s="1"/>
      <c r="AE69" s="1"/>
      <c r="AF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AC70" s="1"/>
      <c r="AD70" s="1"/>
      <c r="AE70" s="1"/>
      <c r="AF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AC71" s="1"/>
      <c r="AD71" s="1"/>
      <c r="AE71" s="1"/>
      <c r="AF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AC72" s="1"/>
      <c r="AD72" s="1"/>
      <c r="AE72" s="1"/>
      <c r="AF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AC73" s="1"/>
      <c r="AD73" s="1"/>
      <c r="AE73" s="1"/>
      <c r="AF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AC74" s="1"/>
      <c r="AD74" s="1"/>
      <c r="AE74" s="1"/>
      <c r="AF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AC75" s="1"/>
      <c r="AD75" s="1"/>
      <c r="AE75" s="1"/>
      <c r="AF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AC76" s="1"/>
      <c r="AD76" s="1"/>
      <c r="AE76" s="1"/>
      <c r="AF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AC77" s="1"/>
      <c r="AD77" s="1"/>
      <c r="AE77" s="1"/>
      <c r="AF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AC78" s="1"/>
      <c r="AD78" s="1"/>
      <c r="AE78" s="1"/>
      <c r="AF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AC79" s="1"/>
      <c r="AD79" s="1"/>
      <c r="AE79" s="1"/>
      <c r="AF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AC80" s="1"/>
      <c r="AD80" s="1"/>
      <c r="AE80" s="1"/>
      <c r="AF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AC81" s="1"/>
      <c r="AD81" s="1"/>
      <c r="AE81" s="1"/>
      <c r="AF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AC82" s="1"/>
      <c r="AD82" s="1"/>
      <c r="AE82" s="1"/>
      <c r="AF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AC83" s="1"/>
      <c r="AD83" s="1"/>
      <c r="AE83" s="1"/>
      <c r="AF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AC84" s="1"/>
      <c r="AD84" s="1"/>
      <c r="AE84" s="1"/>
      <c r="AF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AC85" s="1"/>
      <c r="AD85" s="1"/>
      <c r="AE85" s="1"/>
      <c r="AF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AC86" s="1"/>
      <c r="AD86" s="1"/>
      <c r="AE86" s="1"/>
      <c r="AF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AC87" s="1"/>
      <c r="AD87" s="1"/>
      <c r="AE87" s="1"/>
      <c r="AF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AC88" s="1"/>
      <c r="AD88" s="1"/>
      <c r="AE88" s="1"/>
      <c r="AF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AC89" s="1"/>
      <c r="AD89" s="1"/>
      <c r="AE89" s="1"/>
      <c r="AF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C90" s="1"/>
      <c r="AD90" s="1"/>
      <c r="AE90" s="1"/>
      <c r="AF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AC91" s="1"/>
      <c r="AD91" s="1"/>
      <c r="AE91" s="1"/>
      <c r="AF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AC92" s="1"/>
      <c r="AD92" s="1"/>
      <c r="AE92" s="1"/>
      <c r="AF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AC93" s="1"/>
      <c r="AD93" s="1"/>
      <c r="AE93" s="1"/>
      <c r="AF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AC94" s="1"/>
      <c r="AD94" s="1"/>
      <c r="AE94" s="1"/>
      <c r="AF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AC95" s="1"/>
      <c r="AD95" s="1"/>
      <c r="AE95" s="1"/>
      <c r="AF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AC96" s="1"/>
      <c r="AD96" s="1"/>
      <c r="AE96" s="1"/>
      <c r="AF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AC97" s="1"/>
      <c r="AD97" s="1"/>
      <c r="AE97" s="1"/>
      <c r="AF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AC98" s="1"/>
      <c r="AD98" s="1"/>
      <c r="AE98" s="1"/>
      <c r="AF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AC99" s="1"/>
      <c r="AD99" s="1"/>
      <c r="AE99" s="1"/>
      <c r="AF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AC100" s="1"/>
      <c r="AD100" s="1"/>
      <c r="AE100" s="1"/>
      <c r="AF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AC101" s="1"/>
      <c r="AD101" s="1"/>
      <c r="AE101" s="1"/>
      <c r="AF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AC102" s="1"/>
      <c r="AD102" s="1"/>
      <c r="AE102" s="1"/>
      <c r="AF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AC103" s="1"/>
      <c r="AD103" s="1"/>
      <c r="AE103" s="1"/>
      <c r="AF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AC104" s="1"/>
      <c r="AD104" s="1"/>
      <c r="AE104" s="1"/>
      <c r="AF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AC105" s="1"/>
      <c r="AD105" s="1"/>
      <c r="AE105" s="1"/>
      <c r="AF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AC106" s="1"/>
      <c r="AD106" s="1"/>
      <c r="AE106" s="1"/>
      <c r="AF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AC107" s="1"/>
      <c r="AD107" s="1"/>
      <c r="AE107" s="1"/>
      <c r="AF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AC108" s="1"/>
      <c r="AD108" s="1"/>
      <c r="AE108" s="1"/>
      <c r="AF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AC109" s="1"/>
      <c r="AD109" s="1"/>
      <c r="AE109" s="1"/>
      <c r="AF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AC110" s="1"/>
      <c r="AD110" s="1"/>
      <c r="AE110" s="1"/>
      <c r="AF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AC111" s="1"/>
      <c r="AD111" s="1"/>
      <c r="AE111" s="1"/>
      <c r="AF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AC112" s="1"/>
      <c r="AD112" s="1"/>
      <c r="AE112" s="1"/>
      <c r="AF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AC113" s="1"/>
      <c r="AD113" s="1"/>
      <c r="AE113" s="1"/>
      <c r="AF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AC114" s="1"/>
      <c r="AD114" s="1"/>
      <c r="AE114" s="1"/>
      <c r="AF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AC115" s="1"/>
      <c r="AD115" s="1"/>
      <c r="AE115" s="1"/>
      <c r="AF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AC116" s="1"/>
      <c r="AD116" s="1"/>
      <c r="AE116" s="1"/>
      <c r="AF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AC117" s="1"/>
      <c r="AD117" s="1"/>
      <c r="AE117" s="1"/>
      <c r="AF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AC118" s="1"/>
      <c r="AD118" s="1"/>
      <c r="AE118" s="1"/>
      <c r="AF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AC119" s="1"/>
      <c r="AD119" s="1"/>
      <c r="AE119" s="1"/>
      <c r="AF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C120" s="1"/>
      <c r="AD120" s="1"/>
      <c r="AE120" s="1"/>
      <c r="AF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AC121" s="1"/>
      <c r="AD121" s="1"/>
      <c r="AE121" s="1"/>
      <c r="AF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AC122" s="1"/>
      <c r="AD122" s="1"/>
      <c r="AE122" s="1"/>
      <c r="AF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AC123" s="1"/>
      <c r="AD123" s="1"/>
      <c r="AE123" s="1"/>
      <c r="AF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AC124" s="1"/>
      <c r="AD124" s="1"/>
      <c r="AE124" s="1"/>
      <c r="AF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AC125" s="1"/>
      <c r="AD125" s="1"/>
      <c r="AE125" s="1"/>
      <c r="AF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AC126" s="1"/>
      <c r="AD126" s="1"/>
      <c r="AE126" s="1"/>
      <c r="AF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AC127" s="1"/>
      <c r="AD127" s="1"/>
      <c r="AE127" s="1"/>
      <c r="AF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AC128" s="1"/>
      <c r="AD128" s="1"/>
      <c r="AE128" s="1"/>
      <c r="AF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AC129" s="1"/>
      <c r="AD129" s="1"/>
      <c r="AE129" s="1"/>
      <c r="AF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AC130" s="1"/>
      <c r="AD130" s="1"/>
      <c r="AE130" s="1"/>
      <c r="AF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AC131" s="1"/>
      <c r="AD131" s="1"/>
      <c r="AE131" s="1"/>
      <c r="AF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AC132" s="1"/>
      <c r="AD132" s="1"/>
      <c r="AE132" s="1"/>
      <c r="AF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AC133" s="1"/>
      <c r="AD133" s="1"/>
      <c r="AE133" s="1"/>
      <c r="AF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AC134" s="1"/>
      <c r="AD134" s="1"/>
      <c r="AE134" s="1"/>
      <c r="AF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AC135" s="1"/>
      <c r="AD135" s="1"/>
      <c r="AE135" s="1"/>
      <c r="AF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AC136" s="1"/>
      <c r="AD136" s="1"/>
      <c r="AE136" s="1"/>
      <c r="AF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AC137" s="1"/>
      <c r="AD137" s="1"/>
      <c r="AE137" s="1"/>
      <c r="AF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AC138" s="1"/>
      <c r="AD138" s="1"/>
      <c r="AE138" s="1"/>
      <c r="AF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AC139" s="1"/>
      <c r="AD139" s="1"/>
      <c r="AE139" s="1"/>
      <c r="AF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AC140" s="1"/>
      <c r="AD140" s="1"/>
      <c r="AE140" s="1"/>
      <c r="AF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AC141" s="1"/>
      <c r="AD141" s="1"/>
      <c r="AE141" s="1"/>
      <c r="AF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AC142" s="1"/>
      <c r="AD142" s="1"/>
      <c r="AE142" s="1"/>
      <c r="AF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AC143" s="1"/>
      <c r="AD143" s="1"/>
      <c r="AE143" s="1"/>
      <c r="AF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AC144" s="1"/>
      <c r="AD144" s="1"/>
      <c r="AE144" s="1"/>
      <c r="AF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AC145" s="1"/>
      <c r="AD145" s="1"/>
      <c r="AE145" s="1"/>
      <c r="AF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AC146" s="1"/>
      <c r="AD146" s="1"/>
      <c r="AE146" s="1"/>
      <c r="AF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AC147" s="1"/>
      <c r="AD147" s="1"/>
      <c r="AE147" s="1"/>
      <c r="AF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AC148" s="1"/>
      <c r="AD148" s="1"/>
      <c r="AE148" s="1"/>
      <c r="AF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AC149" s="1"/>
      <c r="AD149" s="1"/>
      <c r="AE149" s="1"/>
      <c r="AF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C150" s="1"/>
      <c r="AD150" s="1"/>
      <c r="AE150" s="1"/>
      <c r="AF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AC151" s="1"/>
      <c r="AD151" s="1"/>
      <c r="AE151" s="1"/>
      <c r="AF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AC152" s="1"/>
      <c r="AD152" s="1"/>
      <c r="AE152" s="1"/>
      <c r="AF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AC153" s="1"/>
      <c r="AD153" s="1"/>
      <c r="AE153" s="1"/>
      <c r="AF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AC154" s="1"/>
      <c r="AD154" s="1"/>
      <c r="AE154" s="1"/>
      <c r="AF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AC155" s="1"/>
      <c r="AD155" s="1"/>
      <c r="AE155" s="1"/>
      <c r="AF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AC156" s="1"/>
      <c r="AD156" s="1"/>
      <c r="AE156" s="1"/>
      <c r="AF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AC157" s="1"/>
      <c r="AD157" s="1"/>
      <c r="AE157" s="1"/>
      <c r="AF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AC158" s="1"/>
      <c r="AD158" s="1"/>
      <c r="AE158" s="1"/>
      <c r="AF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AC159" s="1"/>
      <c r="AD159" s="1"/>
      <c r="AE159" s="1"/>
      <c r="AF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AC160" s="1"/>
      <c r="AD160" s="1"/>
      <c r="AE160" s="1"/>
      <c r="AF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AC161" s="1"/>
      <c r="AD161" s="1"/>
      <c r="AE161" s="1"/>
      <c r="AF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AC162" s="1"/>
      <c r="AD162" s="1"/>
      <c r="AE162" s="1"/>
      <c r="AF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AC163" s="1"/>
      <c r="AD163" s="1"/>
      <c r="AE163" s="1"/>
      <c r="AF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AC164" s="1"/>
      <c r="AD164" s="1"/>
      <c r="AE164" s="1"/>
      <c r="AF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AC165" s="1"/>
      <c r="AD165" s="1"/>
      <c r="AE165" s="1"/>
      <c r="AF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AC166" s="1"/>
      <c r="AD166" s="1"/>
      <c r="AE166" s="1"/>
      <c r="AF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AC167" s="1"/>
      <c r="AD167" s="1"/>
      <c r="AE167" s="1"/>
      <c r="AF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AC168" s="1"/>
      <c r="AD168" s="1"/>
      <c r="AE168" s="1"/>
      <c r="AF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AC169" s="1"/>
      <c r="AD169" s="1"/>
      <c r="AE169" s="1"/>
      <c r="AF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AC170" s="1"/>
      <c r="AD170" s="1"/>
      <c r="AE170" s="1"/>
      <c r="AF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AC171" s="1"/>
      <c r="AD171" s="1"/>
      <c r="AE171" s="1"/>
      <c r="AF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AC172" s="1"/>
      <c r="AD172" s="1"/>
      <c r="AE172" s="1"/>
      <c r="AF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AC173" s="1"/>
      <c r="AD173" s="1"/>
      <c r="AE173" s="1"/>
      <c r="AF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AC174" s="1"/>
      <c r="AD174" s="1"/>
      <c r="AE174" s="1"/>
      <c r="AF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AC175" s="1"/>
      <c r="AD175" s="1"/>
      <c r="AE175" s="1"/>
      <c r="AF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AC176" s="1"/>
      <c r="AD176" s="1"/>
      <c r="AE176" s="1"/>
      <c r="AF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AC177" s="1"/>
      <c r="AD177" s="1"/>
      <c r="AE177" s="1"/>
      <c r="AF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AC178" s="1"/>
      <c r="AD178" s="1"/>
      <c r="AE178" s="1"/>
      <c r="AF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AC179" s="1"/>
      <c r="AD179" s="1"/>
      <c r="AE179" s="1"/>
      <c r="AF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C180" s="1"/>
      <c r="AD180" s="1"/>
      <c r="AE180" s="1"/>
      <c r="AF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AC181" s="1"/>
      <c r="AD181" s="1"/>
      <c r="AE181" s="1"/>
      <c r="AF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AC182" s="1"/>
      <c r="AD182" s="1"/>
      <c r="AE182" s="1"/>
      <c r="AF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AC183" s="1"/>
      <c r="AD183" s="1"/>
      <c r="AE183" s="1"/>
      <c r="AF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AC184" s="1"/>
      <c r="AD184" s="1"/>
      <c r="AE184" s="1"/>
      <c r="AF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AC185" s="1"/>
      <c r="AD185" s="1"/>
      <c r="AE185" s="1"/>
      <c r="AF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AC186" s="1"/>
      <c r="AD186" s="1"/>
      <c r="AE186" s="1"/>
      <c r="AF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AC187" s="1"/>
      <c r="AD187" s="1"/>
      <c r="AE187" s="1"/>
      <c r="AF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AC188" s="1"/>
      <c r="AD188" s="1"/>
      <c r="AE188" s="1"/>
      <c r="AF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AC189" s="1"/>
      <c r="AD189" s="1"/>
      <c r="AE189" s="1"/>
      <c r="AF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AC190" s="1"/>
      <c r="AD190" s="1"/>
      <c r="AE190" s="1"/>
      <c r="AF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AC191" s="1"/>
      <c r="AD191" s="1"/>
      <c r="AE191" s="1"/>
      <c r="AF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AC192" s="1"/>
      <c r="AD192" s="1"/>
      <c r="AE192" s="1"/>
      <c r="AF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AC193" s="1"/>
      <c r="AD193" s="1"/>
      <c r="AE193" s="1"/>
      <c r="AF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AC194" s="1"/>
      <c r="AD194" s="1"/>
      <c r="AE194" s="1"/>
      <c r="AF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AC195" s="1"/>
      <c r="AD195" s="1"/>
      <c r="AE195" s="1"/>
      <c r="AF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AC196" s="1"/>
      <c r="AD196" s="1"/>
      <c r="AE196" s="1"/>
      <c r="AF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AC197" s="1"/>
      <c r="AD197" s="1"/>
      <c r="AE197" s="1"/>
      <c r="AF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AC198" s="1"/>
      <c r="AD198" s="1"/>
      <c r="AE198" s="1"/>
      <c r="AF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AC199" s="1"/>
      <c r="AD199" s="1"/>
      <c r="AE199" s="1"/>
      <c r="AF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AC200" s="1"/>
      <c r="AD200" s="1"/>
      <c r="AE200" s="1"/>
      <c r="AF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AC201" s="1"/>
      <c r="AD201" s="1"/>
      <c r="AE201" s="1"/>
      <c r="AF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AC202" s="1"/>
      <c r="AD202" s="1"/>
      <c r="AE202" s="1"/>
      <c r="AF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AC203" s="1"/>
      <c r="AD203" s="1"/>
      <c r="AE203" s="1"/>
      <c r="AF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AC204" s="1"/>
      <c r="AD204" s="1"/>
      <c r="AE204" s="1"/>
      <c r="AF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AC205" s="1"/>
      <c r="AD205" s="1"/>
      <c r="AE205" s="1"/>
      <c r="AF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AC206" s="1"/>
      <c r="AD206" s="1"/>
      <c r="AE206" s="1"/>
      <c r="AF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AC207" s="1"/>
      <c r="AD207" s="1"/>
      <c r="AE207" s="1"/>
      <c r="AF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AC208" s="1"/>
      <c r="AD208" s="1"/>
      <c r="AE208" s="1"/>
      <c r="AF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AC209" s="1"/>
      <c r="AD209" s="1"/>
      <c r="AE209" s="1"/>
      <c r="AF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C210" s="1"/>
      <c r="AD210" s="1"/>
      <c r="AE210" s="1"/>
      <c r="AF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AC211" s="1"/>
      <c r="AD211" s="1"/>
      <c r="AE211" s="1"/>
      <c r="AF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AC212" s="1"/>
      <c r="AD212" s="1"/>
      <c r="AE212" s="1"/>
      <c r="AF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AC213" s="1"/>
      <c r="AD213" s="1"/>
      <c r="AE213" s="1"/>
      <c r="AF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AC214" s="1"/>
      <c r="AD214" s="1"/>
      <c r="AE214" s="1"/>
      <c r="AF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AC215" s="1"/>
      <c r="AD215" s="1"/>
      <c r="AE215" s="1"/>
      <c r="AF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AC216" s="1"/>
      <c r="AD216" s="1"/>
      <c r="AE216" s="1"/>
      <c r="AF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AC217" s="1"/>
      <c r="AD217" s="1"/>
      <c r="AE217" s="1"/>
      <c r="AF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AC218" s="1"/>
      <c r="AD218" s="1"/>
      <c r="AE218" s="1"/>
      <c r="AF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AC219" s="1"/>
      <c r="AD219" s="1"/>
      <c r="AE219" s="1"/>
      <c r="AF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AC220" s="1"/>
      <c r="AD220" s="1"/>
      <c r="AE220" s="1"/>
      <c r="AF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AC221" s="1"/>
      <c r="AD221" s="1"/>
      <c r="AE221" s="1"/>
      <c r="AF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AC222" s="1"/>
      <c r="AD222" s="1"/>
      <c r="AE222" s="1"/>
      <c r="AF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AC223" s="1"/>
      <c r="AD223" s="1"/>
      <c r="AE223" s="1"/>
      <c r="AF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AC224" s="1"/>
      <c r="AD224" s="1"/>
      <c r="AE224" s="1"/>
      <c r="AF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AC225" s="1"/>
      <c r="AD225" s="1"/>
      <c r="AE225" s="1"/>
      <c r="AF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AC226" s="1"/>
      <c r="AD226" s="1"/>
      <c r="AE226" s="1"/>
      <c r="AF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AC227" s="1"/>
      <c r="AD227" s="1"/>
      <c r="AE227" s="1"/>
      <c r="AF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AC228" s="1"/>
      <c r="AD228" s="1"/>
      <c r="AE228" s="1"/>
      <c r="AF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AC229" s="1"/>
      <c r="AD229" s="1"/>
      <c r="AE229" s="1"/>
      <c r="AF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AC230" s="1"/>
      <c r="AD230" s="1"/>
      <c r="AE230" s="1"/>
      <c r="AF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AC231" s="1"/>
      <c r="AD231" s="1"/>
      <c r="AE231" s="1"/>
      <c r="AF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AC232" s="1"/>
      <c r="AD232" s="1"/>
      <c r="AE232" s="1"/>
      <c r="AF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AC233" s="1"/>
      <c r="AD233" s="1"/>
      <c r="AE233" s="1"/>
      <c r="AF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AC234" s="1"/>
      <c r="AD234" s="1"/>
      <c r="AE234" s="1"/>
      <c r="AF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AC235" s="1"/>
      <c r="AD235" s="1"/>
      <c r="AE235" s="1"/>
      <c r="AF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AC236" s="1"/>
      <c r="AD236" s="1"/>
      <c r="AE236" s="1"/>
      <c r="AF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AC237" s="1"/>
      <c r="AD237" s="1"/>
      <c r="AE237" s="1"/>
      <c r="AF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AC238" s="1"/>
      <c r="AD238" s="1"/>
      <c r="AE238" s="1"/>
      <c r="AF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AC239" s="1"/>
      <c r="AD239" s="1"/>
      <c r="AE239" s="1"/>
      <c r="AF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C240" s="1"/>
      <c r="AD240" s="1"/>
      <c r="AE240" s="1"/>
      <c r="AF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AC241" s="1"/>
      <c r="AD241" s="1"/>
      <c r="AE241" s="1"/>
      <c r="AF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AC242" s="1"/>
      <c r="AD242" s="1"/>
      <c r="AE242" s="1"/>
      <c r="AF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AC243" s="1"/>
      <c r="AD243" s="1"/>
      <c r="AE243" s="1"/>
      <c r="AF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AC244" s="1"/>
      <c r="AD244" s="1"/>
      <c r="AE244" s="1"/>
      <c r="AF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AC245" s="1"/>
      <c r="AD245" s="1"/>
      <c r="AE245" s="1"/>
      <c r="AF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AC246" s="1"/>
      <c r="AD246" s="1"/>
      <c r="AE246" s="1"/>
      <c r="AF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AC247" s="1"/>
      <c r="AD247" s="1"/>
      <c r="AE247" s="1"/>
      <c r="AF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AC248" s="1"/>
      <c r="AD248" s="1"/>
      <c r="AE248" s="1"/>
      <c r="AF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AC249" s="1"/>
      <c r="AD249" s="1"/>
      <c r="AE249" s="1"/>
      <c r="AF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AC250" s="1"/>
      <c r="AD250" s="1"/>
      <c r="AE250" s="1"/>
      <c r="AF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AC251" s="1"/>
      <c r="AD251" s="1"/>
      <c r="AE251" s="1"/>
      <c r="AF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AC252" s="1"/>
      <c r="AD252" s="1"/>
      <c r="AE252" s="1"/>
      <c r="AF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AC253" s="1"/>
      <c r="AD253" s="1"/>
      <c r="AE253" s="1"/>
      <c r="AF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AC254" s="1"/>
      <c r="AD254" s="1"/>
      <c r="AE254" s="1"/>
      <c r="AF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AC255" s="1"/>
      <c r="AD255" s="1"/>
      <c r="AE255" s="1"/>
      <c r="AF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AC256" s="1"/>
      <c r="AD256" s="1"/>
      <c r="AE256" s="1"/>
      <c r="AF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AC257" s="1"/>
      <c r="AD257" s="1"/>
      <c r="AE257" s="1"/>
      <c r="AF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AC258" s="1"/>
      <c r="AD258" s="1"/>
      <c r="AE258" s="1"/>
      <c r="AF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AC259" s="1"/>
      <c r="AD259" s="1"/>
      <c r="AE259" s="1"/>
      <c r="AF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AC260" s="1"/>
      <c r="AD260" s="1"/>
      <c r="AE260" s="1"/>
      <c r="AF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AC261" s="1"/>
      <c r="AD261" s="1"/>
      <c r="AE261" s="1"/>
      <c r="AF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AC262" s="1"/>
      <c r="AD262" s="1"/>
      <c r="AE262" s="1"/>
      <c r="AF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AC263" s="1"/>
      <c r="AD263" s="1"/>
      <c r="AE263" s="1"/>
      <c r="AF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AC264" s="1"/>
      <c r="AD264" s="1"/>
      <c r="AE264" s="1"/>
      <c r="AF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AC265" s="1"/>
      <c r="AD265" s="1"/>
      <c r="AE265" s="1"/>
      <c r="AF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AC266" s="1"/>
      <c r="AD266" s="1"/>
      <c r="AE266" s="1"/>
      <c r="AF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AC267" s="1"/>
      <c r="AD267" s="1"/>
      <c r="AE267" s="1"/>
      <c r="AF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AC268" s="1"/>
      <c r="AD268" s="1"/>
      <c r="AE268" s="1"/>
      <c r="AF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AC269" s="1"/>
      <c r="AD269" s="1"/>
      <c r="AE269" s="1"/>
      <c r="AF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C270" s="1"/>
      <c r="AD270" s="1"/>
      <c r="AE270" s="1"/>
      <c r="AF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AC271" s="1"/>
      <c r="AD271" s="1"/>
      <c r="AE271" s="1"/>
      <c r="AF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AC272" s="1"/>
      <c r="AD272" s="1"/>
      <c r="AE272" s="1"/>
      <c r="AF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AC273" s="1"/>
      <c r="AD273" s="1"/>
      <c r="AE273" s="1"/>
      <c r="AF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AC274" s="1"/>
      <c r="AD274" s="1"/>
      <c r="AE274" s="1"/>
      <c r="AF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AC275" s="1"/>
      <c r="AD275" s="1"/>
      <c r="AE275" s="1"/>
      <c r="AF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AC276" s="1"/>
      <c r="AD276" s="1"/>
      <c r="AE276" s="1"/>
      <c r="AF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AC277" s="1"/>
      <c r="AD277" s="1"/>
      <c r="AE277" s="1"/>
      <c r="AF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AC278" s="1"/>
      <c r="AD278" s="1"/>
      <c r="AE278" s="1"/>
      <c r="AF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AC279" s="1"/>
      <c r="AD279" s="1"/>
      <c r="AE279" s="1"/>
      <c r="AF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AC280" s="1"/>
      <c r="AD280" s="1"/>
      <c r="AE280" s="1"/>
      <c r="AF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AC281" s="1"/>
      <c r="AD281" s="1"/>
      <c r="AE281" s="1"/>
      <c r="AF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AC282" s="1"/>
      <c r="AD282" s="1"/>
      <c r="AE282" s="1"/>
      <c r="AF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AC283" s="1"/>
      <c r="AD283" s="1"/>
      <c r="AE283" s="1"/>
      <c r="AF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AC284" s="1"/>
      <c r="AD284" s="1"/>
      <c r="AE284" s="1"/>
      <c r="AF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AC285" s="1"/>
      <c r="AD285" s="1"/>
      <c r="AE285" s="1"/>
      <c r="AF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AC286" s="1"/>
      <c r="AD286" s="1"/>
      <c r="AE286" s="1"/>
      <c r="AF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AC287" s="1"/>
      <c r="AD287" s="1"/>
      <c r="AE287" s="1"/>
      <c r="AF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AC288" s="1"/>
      <c r="AD288" s="1"/>
      <c r="AE288" s="1"/>
      <c r="AF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AC289" s="1"/>
      <c r="AD289" s="1"/>
      <c r="AE289" s="1"/>
      <c r="AF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AC290" s="1"/>
      <c r="AD290" s="1"/>
      <c r="AE290" s="1"/>
      <c r="AF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AC291" s="1"/>
      <c r="AD291" s="1"/>
      <c r="AE291" s="1"/>
      <c r="AF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AC292" s="1"/>
      <c r="AD292" s="1"/>
      <c r="AE292" s="1"/>
      <c r="AF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AC293" s="1"/>
      <c r="AD293" s="1"/>
      <c r="AE293" s="1"/>
      <c r="AF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AC294" s="1"/>
      <c r="AD294" s="1"/>
      <c r="AE294" s="1"/>
      <c r="AF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AC295" s="1"/>
      <c r="AD295" s="1"/>
      <c r="AE295" s="1"/>
      <c r="AF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AC296" s="1"/>
      <c r="AD296" s="1"/>
      <c r="AE296" s="1"/>
      <c r="AF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AC297" s="1"/>
      <c r="AD297" s="1"/>
      <c r="AE297" s="1"/>
      <c r="AF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AC298" s="1"/>
      <c r="AD298" s="1"/>
      <c r="AE298" s="1"/>
      <c r="AF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AC299" s="1"/>
      <c r="AD299" s="1"/>
      <c r="AE299" s="1"/>
      <c r="AF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C300" s="1"/>
      <c r="AD300" s="1"/>
      <c r="AE300" s="1"/>
      <c r="AF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AC301" s="1"/>
      <c r="AD301" s="1"/>
      <c r="AE301" s="1"/>
      <c r="AF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AC302" s="1"/>
      <c r="AD302" s="1"/>
      <c r="AE302" s="1"/>
      <c r="AF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AC303" s="1"/>
      <c r="AD303" s="1"/>
      <c r="AE303" s="1"/>
      <c r="AF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AC304" s="1"/>
      <c r="AD304" s="1"/>
      <c r="AE304" s="1"/>
      <c r="AF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AC305" s="1"/>
      <c r="AD305" s="1"/>
      <c r="AE305" s="1"/>
      <c r="AF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AC306" s="1"/>
      <c r="AD306" s="1"/>
      <c r="AE306" s="1"/>
      <c r="AF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AC307" s="1"/>
      <c r="AD307" s="1"/>
      <c r="AE307" s="1"/>
      <c r="AF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AC308" s="1"/>
      <c r="AD308" s="1"/>
      <c r="AE308" s="1"/>
      <c r="AF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AC309" s="1"/>
      <c r="AD309" s="1"/>
      <c r="AE309" s="1"/>
      <c r="AF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AC310" s="1"/>
      <c r="AD310" s="1"/>
      <c r="AE310" s="1"/>
      <c r="AF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AC311" s="1"/>
      <c r="AD311" s="1"/>
      <c r="AE311" s="1"/>
      <c r="AF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AC312" s="1"/>
      <c r="AD312" s="1"/>
      <c r="AE312" s="1"/>
      <c r="AF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AC313" s="1"/>
      <c r="AD313" s="1"/>
      <c r="AE313" s="1"/>
      <c r="AF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AC314" s="1"/>
      <c r="AD314" s="1"/>
      <c r="AE314" s="1"/>
      <c r="AF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AC315" s="1"/>
      <c r="AD315" s="1"/>
      <c r="AE315" s="1"/>
      <c r="AF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AC316" s="1"/>
      <c r="AD316" s="1"/>
      <c r="AE316" s="1"/>
      <c r="AF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AC317" s="1"/>
      <c r="AD317" s="1"/>
      <c r="AE317" s="1"/>
      <c r="AF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AC318" s="1"/>
      <c r="AD318" s="1"/>
      <c r="AE318" s="1"/>
      <c r="AF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AC319" s="1"/>
      <c r="AD319" s="1"/>
      <c r="AE319" s="1"/>
      <c r="AF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AC320" s="1"/>
      <c r="AD320" s="1"/>
      <c r="AE320" s="1"/>
      <c r="AF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AC321" s="1"/>
      <c r="AD321" s="1"/>
      <c r="AE321" s="1"/>
      <c r="AF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AC322" s="1"/>
      <c r="AD322" s="1"/>
      <c r="AE322" s="1"/>
      <c r="AF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AC323" s="1"/>
      <c r="AD323" s="1"/>
      <c r="AE323" s="1"/>
      <c r="AF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AC324" s="1"/>
      <c r="AD324" s="1"/>
      <c r="AE324" s="1"/>
      <c r="AF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AC325" s="1"/>
      <c r="AD325" s="1"/>
      <c r="AE325" s="1"/>
      <c r="AF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AC326" s="1"/>
      <c r="AD326" s="1"/>
      <c r="AE326" s="1"/>
      <c r="AF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AC327" s="1"/>
      <c r="AD327" s="1"/>
      <c r="AE327" s="1"/>
      <c r="AF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AC328" s="1"/>
      <c r="AD328" s="1"/>
      <c r="AE328" s="1"/>
      <c r="AF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AC329" s="1"/>
      <c r="AD329" s="1"/>
      <c r="AE329" s="1"/>
      <c r="AF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AC330" s="1"/>
      <c r="AD330" s="1"/>
      <c r="AE330" s="1"/>
      <c r="AF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AC331" s="1"/>
      <c r="AD331" s="1"/>
      <c r="AE331" s="1"/>
      <c r="AF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AC332" s="1"/>
      <c r="AD332" s="1"/>
      <c r="AE332" s="1"/>
      <c r="AF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AC333" s="1"/>
      <c r="AD333" s="1"/>
      <c r="AE333" s="1"/>
      <c r="AF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AC334" s="1"/>
      <c r="AD334" s="1"/>
      <c r="AE334" s="1"/>
      <c r="AF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AC335" s="1"/>
      <c r="AD335" s="1"/>
      <c r="AE335" s="1"/>
      <c r="AF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AC336" s="1"/>
      <c r="AD336" s="1"/>
      <c r="AE336" s="1"/>
      <c r="AF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AC337" s="1"/>
      <c r="AD337" s="1"/>
      <c r="AE337" s="1"/>
      <c r="AF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AC338" s="1"/>
      <c r="AD338" s="1"/>
      <c r="AE338" s="1"/>
      <c r="AF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AC339" s="1"/>
      <c r="AD339" s="1"/>
      <c r="AE339" s="1"/>
      <c r="AF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AC340" s="1"/>
      <c r="AD340" s="1"/>
      <c r="AE340" s="1"/>
      <c r="AF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AC341" s="1"/>
      <c r="AD341" s="1"/>
      <c r="AE341" s="1"/>
      <c r="AF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AC342" s="1"/>
      <c r="AD342" s="1"/>
      <c r="AE342" s="1"/>
      <c r="AF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AC343" s="1"/>
      <c r="AD343" s="1"/>
      <c r="AE343" s="1"/>
      <c r="AF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AC344" s="1"/>
      <c r="AD344" s="1"/>
      <c r="AE344" s="1"/>
      <c r="AF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AC345" s="1"/>
      <c r="AD345" s="1"/>
      <c r="AE345" s="1"/>
      <c r="AF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AC346" s="1"/>
      <c r="AD346" s="1"/>
      <c r="AE346" s="1"/>
      <c r="AF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AC347" s="1"/>
      <c r="AD347" s="1"/>
      <c r="AE347" s="1"/>
      <c r="AF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AC348" s="1"/>
      <c r="AD348" s="1"/>
      <c r="AE348" s="1"/>
      <c r="AF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AC349" s="1"/>
      <c r="AD349" s="1"/>
      <c r="AE349" s="1"/>
      <c r="AF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AC350" s="1"/>
      <c r="AD350" s="1"/>
      <c r="AE350" s="1"/>
      <c r="AF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AC351" s="1"/>
      <c r="AD351" s="1"/>
      <c r="AE351" s="1"/>
      <c r="AF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AC352" s="1"/>
      <c r="AD352" s="1"/>
      <c r="AE352" s="1"/>
      <c r="AF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AC353" s="1"/>
      <c r="AD353" s="1"/>
      <c r="AE353" s="1"/>
      <c r="AF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AC354" s="1"/>
      <c r="AD354" s="1"/>
      <c r="AE354" s="1"/>
      <c r="AF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AC355" s="1"/>
      <c r="AD355" s="1"/>
      <c r="AE355" s="1"/>
      <c r="AF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AC356" s="1"/>
      <c r="AD356" s="1"/>
      <c r="AE356" s="1"/>
      <c r="AF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AC357" s="1"/>
      <c r="AD357" s="1"/>
      <c r="AE357" s="1"/>
      <c r="AF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AC358" s="1"/>
      <c r="AD358" s="1"/>
      <c r="AE358" s="1"/>
      <c r="AF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AC359" s="1"/>
      <c r="AD359" s="1"/>
      <c r="AE359" s="1"/>
      <c r="AF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AC360" s="1"/>
      <c r="AD360" s="1"/>
      <c r="AE360" s="1"/>
      <c r="AF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AC361" s="1"/>
      <c r="AD361" s="1"/>
      <c r="AE361" s="1"/>
      <c r="AF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AC362" s="1"/>
      <c r="AD362" s="1"/>
      <c r="AE362" s="1"/>
      <c r="AF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AC363" s="1"/>
      <c r="AD363" s="1"/>
      <c r="AE363" s="1"/>
      <c r="AF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AC364" s="1"/>
      <c r="AD364" s="1"/>
      <c r="AE364" s="1"/>
      <c r="AF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AC365" s="1"/>
      <c r="AD365" s="1"/>
      <c r="AE365" s="1"/>
      <c r="AF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AC366" s="1"/>
      <c r="AD366" s="1"/>
      <c r="AE366" s="1"/>
      <c r="AF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AC367" s="1"/>
      <c r="AD367" s="1"/>
      <c r="AE367" s="1"/>
      <c r="AF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AC368" s="1"/>
      <c r="AD368" s="1"/>
      <c r="AE368" s="1"/>
      <c r="AF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AC369" s="1"/>
      <c r="AD369" s="1"/>
      <c r="AE369" s="1"/>
      <c r="AF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AC370" s="1"/>
      <c r="AD370" s="1"/>
      <c r="AE370" s="1"/>
      <c r="AF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AC371" s="1"/>
      <c r="AD371" s="1"/>
      <c r="AE371" s="1"/>
      <c r="AF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AC372" s="1"/>
      <c r="AD372" s="1"/>
      <c r="AE372" s="1"/>
      <c r="AF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AC373" s="1"/>
      <c r="AD373" s="1"/>
      <c r="AE373" s="1"/>
      <c r="AF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AC374" s="1"/>
      <c r="AD374" s="1"/>
      <c r="AE374" s="1"/>
      <c r="AF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AC375" s="1"/>
      <c r="AD375" s="1"/>
      <c r="AE375" s="1"/>
      <c r="AF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AC376" s="1"/>
      <c r="AD376" s="1"/>
      <c r="AE376" s="1"/>
      <c r="AF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AC377" s="1"/>
      <c r="AD377" s="1"/>
      <c r="AE377" s="1"/>
      <c r="AF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AC378" s="1"/>
      <c r="AD378" s="1"/>
      <c r="AE378" s="1"/>
      <c r="AF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AC379" s="1"/>
      <c r="AD379" s="1"/>
      <c r="AE379" s="1"/>
      <c r="AF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AC380" s="1"/>
      <c r="AD380" s="1"/>
      <c r="AE380" s="1"/>
      <c r="AF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AC381" s="1"/>
      <c r="AD381" s="1"/>
      <c r="AE381" s="1"/>
      <c r="AF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AC382" s="1"/>
      <c r="AD382" s="1"/>
      <c r="AE382" s="1"/>
      <c r="AF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AC383" s="1"/>
      <c r="AD383" s="1"/>
      <c r="AE383" s="1"/>
      <c r="AF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AC384" s="1"/>
      <c r="AD384" s="1"/>
      <c r="AE384" s="1"/>
      <c r="AF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AC385" s="1"/>
      <c r="AD385" s="1"/>
      <c r="AE385" s="1"/>
      <c r="AF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AC386" s="1"/>
      <c r="AD386" s="1"/>
      <c r="AE386" s="1"/>
      <c r="AF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AC387" s="1"/>
      <c r="AD387" s="1"/>
      <c r="AE387" s="1"/>
      <c r="AF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AC388" s="1"/>
      <c r="AD388" s="1"/>
      <c r="AE388" s="1"/>
      <c r="AF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AC389" s="1"/>
      <c r="AD389" s="1"/>
      <c r="AE389" s="1"/>
      <c r="AF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AC390" s="1"/>
      <c r="AD390" s="1"/>
      <c r="AE390" s="1"/>
      <c r="AF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AC391" s="1"/>
      <c r="AD391" s="1"/>
      <c r="AE391" s="1"/>
      <c r="AF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AC392" s="1"/>
      <c r="AD392" s="1"/>
      <c r="AE392" s="1"/>
      <c r="AF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AC393" s="1"/>
      <c r="AD393" s="1"/>
      <c r="AE393" s="1"/>
      <c r="AF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AC394" s="1"/>
      <c r="AD394" s="1"/>
      <c r="AE394" s="1"/>
      <c r="AF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AC395" s="1"/>
      <c r="AD395" s="1"/>
      <c r="AE395" s="1"/>
      <c r="AF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AC396" s="1"/>
      <c r="AD396" s="1"/>
      <c r="AE396" s="1"/>
      <c r="AF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AC397" s="1"/>
      <c r="AD397" s="1"/>
      <c r="AE397" s="1"/>
      <c r="AF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AC398" s="1"/>
      <c r="AD398" s="1"/>
      <c r="AE398" s="1"/>
      <c r="AF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AC399" s="1"/>
      <c r="AD399" s="1"/>
      <c r="AE399" s="1"/>
      <c r="AF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AC400" s="1"/>
      <c r="AD400" s="1"/>
      <c r="AE400" s="1"/>
      <c r="AF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AC401" s="1"/>
      <c r="AD401" s="1"/>
      <c r="AE401" s="1"/>
      <c r="AF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AC402" s="1"/>
      <c r="AD402" s="1"/>
      <c r="AE402" s="1"/>
      <c r="AF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AC403" s="1"/>
      <c r="AD403" s="1"/>
      <c r="AE403" s="1"/>
      <c r="AF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AC404" s="1"/>
      <c r="AD404" s="1"/>
      <c r="AE404" s="1"/>
      <c r="AF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AC405" s="1"/>
      <c r="AD405" s="1"/>
      <c r="AE405" s="1"/>
      <c r="AF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AC406" s="1"/>
      <c r="AD406" s="1"/>
      <c r="AE406" s="1"/>
      <c r="AF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AC407" s="1"/>
      <c r="AD407" s="1"/>
      <c r="AE407" s="1"/>
      <c r="AF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AC408" s="1"/>
      <c r="AD408" s="1"/>
      <c r="AE408" s="1"/>
      <c r="AF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AC409" s="1"/>
      <c r="AD409" s="1"/>
      <c r="AE409" s="1"/>
      <c r="AF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AC410" s="1"/>
      <c r="AD410" s="1"/>
      <c r="AE410" s="1"/>
      <c r="AF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AC411" s="1"/>
      <c r="AD411" s="1"/>
      <c r="AE411" s="1"/>
      <c r="AF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AC412" s="1"/>
      <c r="AD412" s="1"/>
      <c r="AE412" s="1"/>
      <c r="AF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AC413" s="1"/>
      <c r="AD413" s="1"/>
      <c r="AE413" s="1"/>
      <c r="AF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AC414" s="1"/>
      <c r="AD414" s="1"/>
      <c r="AE414" s="1"/>
      <c r="AF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AC415" s="1"/>
      <c r="AD415" s="1"/>
      <c r="AE415" s="1"/>
      <c r="AF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AC416" s="1"/>
      <c r="AD416" s="1"/>
      <c r="AE416" s="1"/>
      <c r="AF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AC417" s="1"/>
      <c r="AD417" s="1"/>
      <c r="AE417" s="1"/>
      <c r="AF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AC418" s="1"/>
      <c r="AD418" s="1"/>
      <c r="AE418" s="1"/>
      <c r="AF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AC419" s="1"/>
      <c r="AD419" s="1"/>
      <c r="AE419" s="1"/>
      <c r="AF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AC420" s="1"/>
      <c r="AD420" s="1"/>
      <c r="AE420" s="1"/>
      <c r="AF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AC421" s="1"/>
      <c r="AD421" s="1"/>
      <c r="AE421" s="1"/>
      <c r="AF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AC422" s="1"/>
      <c r="AD422" s="1"/>
      <c r="AE422" s="1"/>
      <c r="AF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AC423" s="1"/>
      <c r="AD423" s="1"/>
      <c r="AE423" s="1"/>
      <c r="AF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AC424" s="1"/>
      <c r="AD424" s="1"/>
      <c r="AE424" s="1"/>
      <c r="AF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AC425" s="1"/>
      <c r="AD425" s="1"/>
      <c r="AE425" s="1"/>
      <c r="AF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AC426" s="1"/>
      <c r="AD426" s="1"/>
      <c r="AE426" s="1"/>
      <c r="AF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AC427" s="1"/>
      <c r="AD427" s="1"/>
      <c r="AE427" s="1"/>
      <c r="AF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AC428" s="1"/>
      <c r="AD428" s="1"/>
      <c r="AE428" s="1"/>
      <c r="AF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AC429" s="1"/>
      <c r="AD429" s="1"/>
      <c r="AE429" s="1"/>
      <c r="AF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AC430" s="1"/>
      <c r="AD430" s="1"/>
      <c r="AE430" s="1"/>
      <c r="AF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AC431" s="1"/>
      <c r="AD431" s="1"/>
      <c r="AE431" s="1"/>
      <c r="AF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AC432" s="1"/>
      <c r="AD432" s="1"/>
      <c r="AE432" s="1"/>
      <c r="AF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AC433" s="1"/>
      <c r="AD433" s="1"/>
      <c r="AE433" s="1"/>
      <c r="AF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AC434" s="1"/>
      <c r="AD434" s="1"/>
      <c r="AE434" s="1"/>
      <c r="AF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AC435" s="1"/>
      <c r="AD435" s="1"/>
      <c r="AE435" s="1"/>
      <c r="AF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AC436" s="1"/>
      <c r="AD436" s="1"/>
      <c r="AE436" s="1"/>
      <c r="AF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AC437" s="1"/>
      <c r="AD437" s="1"/>
      <c r="AE437" s="1"/>
      <c r="AF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AC438" s="1"/>
      <c r="AD438" s="1"/>
      <c r="AE438" s="1"/>
      <c r="AF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AC439" s="1"/>
      <c r="AD439" s="1"/>
      <c r="AE439" s="1"/>
      <c r="AF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AC440" s="1"/>
      <c r="AD440" s="1"/>
      <c r="AE440" s="1"/>
      <c r="AF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AC441" s="1"/>
      <c r="AD441" s="1"/>
      <c r="AE441" s="1"/>
      <c r="AF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AC442" s="1"/>
      <c r="AD442" s="1"/>
      <c r="AE442" s="1"/>
      <c r="AF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AC443" s="1"/>
      <c r="AD443" s="1"/>
      <c r="AE443" s="1"/>
      <c r="AF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AC444" s="1"/>
      <c r="AD444" s="1"/>
      <c r="AE444" s="1"/>
      <c r="AF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AC445" s="1"/>
      <c r="AD445" s="1"/>
      <c r="AE445" s="1"/>
      <c r="AF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AC446" s="1"/>
      <c r="AD446" s="1"/>
      <c r="AE446" s="1"/>
      <c r="AF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AC447" s="1"/>
      <c r="AD447" s="1"/>
      <c r="AE447" s="1"/>
      <c r="AF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AC448" s="1"/>
      <c r="AD448" s="1"/>
      <c r="AE448" s="1"/>
      <c r="AF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AC449" s="1"/>
      <c r="AD449" s="1"/>
      <c r="AE449" s="1"/>
      <c r="AF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AC450" s="1"/>
      <c r="AD450" s="1"/>
      <c r="AE450" s="1"/>
      <c r="AF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AC451" s="1"/>
      <c r="AD451" s="1"/>
      <c r="AE451" s="1"/>
      <c r="AF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AC452" s="1"/>
      <c r="AD452" s="1"/>
      <c r="AE452" s="1"/>
      <c r="AF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AC453" s="1"/>
      <c r="AD453" s="1"/>
      <c r="AE453" s="1"/>
      <c r="AF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AC454" s="1"/>
      <c r="AD454" s="1"/>
      <c r="AE454" s="1"/>
      <c r="AF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AC455" s="1"/>
      <c r="AD455" s="1"/>
      <c r="AE455" s="1"/>
      <c r="AF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AC456" s="1"/>
      <c r="AD456" s="1"/>
      <c r="AE456" s="1"/>
      <c r="AF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AC457" s="1"/>
      <c r="AD457" s="1"/>
      <c r="AE457" s="1"/>
      <c r="AF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AC458" s="1"/>
      <c r="AD458" s="1"/>
      <c r="AE458" s="1"/>
      <c r="AF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AC459" s="1"/>
      <c r="AD459" s="1"/>
      <c r="AE459" s="1"/>
      <c r="AF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AC460" s="1"/>
      <c r="AD460" s="1"/>
      <c r="AE460" s="1"/>
      <c r="AF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AC461" s="1"/>
      <c r="AD461" s="1"/>
      <c r="AE461" s="1"/>
      <c r="AF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AC462" s="1"/>
      <c r="AD462" s="1"/>
      <c r="AE462" s="1"/>
      <c r="AF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AC463" s="1"/>
      <c r="AD463" s="1"/>
      <c r="AE463" s="1"/>
      <c r="AF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AC464" s="1"/>
      <c r="AD464" s="1"/>
      <c r="AE464" s="1"/>
      <c r="AF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AC465" s="1"/>
      <c r="AD465" s="1"/>
      <c r="AE465" s="1"/>
      <c r="AF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AC466" s="1"/>
      <c r="AD466" s="1"/>
      <c r="AE466" s="1"/>
      <c r="AF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AC467" s="1"/>
      <c r="AD467" s="1"/>
      <c r="AE467" s="1"/>
      <c r="AF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AC468" s="1"/>
      <c r="AD468" s="1"/>
      <c r="AE468" s="1"/>
      <c r="AF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AC469" s="1"/>
      <c r="AD469" s="1"/>
      <c r="AE469" s="1"/>
      <c r="AF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AC470" s="1"/>
      <c r="AD470" s="1"/>
      <c r="AE470" s="1"/>
      <c r="AF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AC471" s="1"/>
      <c r="AD471" s="1"/>
      <c r="AE471" s="1"/>
      <c r="AF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AC472" s="1"/>
      <c r="AD472" s="1"/>
      <c r="AE472" s="1"/>
      <c r="AF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AC473" s="1"/>
      <c r="AD473" s="1"/>
      <c r="AE473" s="1"/>
      <c r="AF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AC474" s="1"/>
      <c r="AD474" s="1"/>
      <c r="AE474" s="1"/>
      <c r="AF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AC475" s="1"/>
      <c r="AD475" s="1"/>
      <c r="AE475" s="1"/>
      <c r="AF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AC476" s="1"/>
      <c r="AD476" s="1"/>
      <c r="AE476" s="1"/>
      <c r="AF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AC477" s="1"/>
      <c r="AD477" s="1"/>
      <c r="AE477" s="1"/>
      <c r="AF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AC478" s="1"/>
      <c r="AD478" s="1"/>
      <c r="AE478" s="1"/>
      <c r="AF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AC479" s="1"/>
      <c r="AD479" s="1"/>
      <c r="AE479" s="1"/>
      <c r="AF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AC480" s="1"/>
      <c r="AD480" s="1"/>
      <c r="AE480" s="1"/>
      <c r="AF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AC481" s="1"/>
      <c r="AD481" s="1"/>
      <c r="AE481" s="1"/>
      <c r="AF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AC482" s="1"/>
      <c r="AD482" s="1"/>
      <c r="AE482" s="1"/>
      <c r="AF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AC483" s="1"/>
      <c r="AD483" s="1"/>
      <c r="AE483" s="1"/>
      <c r="AF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AC484" s="1"/>
      <c r="AD484" s="1"/>
      <c r="AE484" s="1"/>
      <c r="AF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AC485" s="1"/>
      <c r="AD485" s="1"/>
      <c r="AE485" s="1"/>
      <c r="AF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AC486" s="1"/>
      <c r="AD486" s="1"/>
      <c r="AE486" s="1"/>
      <c r="AF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AC487" s="1"/>
      <c r="AD487" s="1"/>
      <c r="AE487" s="1"/>
      <c r="AF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AC488" s="1"/>
      <c r="AD488" s="1"/>
      <c r="AE488" s="1"/>
      <c r="AF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AC489" s="1"/>
      <c r="AD489" s="1"/>
      <c r="AE489" s="1"/>
      <c r="AF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AC490" s="1"/>
      <c r="AD490" s="1"/>
      <c r="AE490" s="1"/>
      <c r="AF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AC491" s="1"/>
      <c r="AD491" s="1"/>
      <c r="AE491" s="1"/>
      <c r="AF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AC492" s="1"/>
      <c r="AD492" s="1"/>
      <c r="AE492" s="1"/>
      <c r="AF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AC493" s="1"/>
      <c r="AD493" s="1"/>
      <c r="AE493" s="1"/>
      <c r="AF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AC494" s="1"/>
      <c r="AD494" s="1"/>
      <c r="AE494" s="1"/>
      <c r="AF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AC495" s="1"/>
      <c r="AD495" s="1"/>
      <c r="AE495" s="1"/>
      <c r="AF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AC496" s="1"/>
      <c r="AD496" s="1"/>
      <c r="AE496" s="1"/>
      <c r="AF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AC497" s="1"/>
      <c r="AD497" s="1"/>
      <c r="AE497" s="1"/>
      <c r="AF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AC498" s="1"/>
      <c r="AD498" s="1"/>
      <c r="AE498" s="1"/>
      <c r="AF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AC499" s="1"/>
      <c r="AD499" s="1"/>
      <c r="AE499" s="1"/>
      <c r="AF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AC500" s="1"/>
      <c r="AD500" s="1"/>
      <c r="AE500" s="1"/>
      <c r="AF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AC501" s="1"/>
      <c r="AD501" s="1"/>
      <c r="AE501" s="1"/>
      <c r="AF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AC502" s="1"/>
      <c r="AD502" s="1"/>
      <c r="AE502" s="1"/>
      <c r="AF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AC503" s="1"/>
      <c r="AD503" s="1"/>
      <c r="AE503" s="1"/>
      <c r="AF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AC504" s="1"/>
      <c r="AD504" s="1"/>
      <c r="AE504" s="1"/>
      <c r="AF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AC505" s="1"/>
      <c r="AD505" s="1"/>
      <c r="AE505" s="1"/>
      <c r="AF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AC506" s="1"/>
      <c r="AD506" s="1"/>
      <c r="AE506" s="1"/>
      <c r="AF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AC507" s="1"/>
      <c r="AD507" s="1"/>
      <c r="AE507" s="1"/>
      <c r="AF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AC508" s="1"/>
      <c r="AD508" s="1"/>
      <c r="AE508" s="1"/>
      <c r="AF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AC509" s="1"/>
      <c r="AD509" s="1"/>
      <c r="AE509" s="1"/>
      <c r="AF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AC510" s="1"/>
      <c r="AD510" s="1"/>
      <c r="AE510" s="1"/>
      <c r="AF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AC511" s="1"/>
      <c r="AD511" s="1"/>
      <c r="AE511" s="1"/>
      <c r="AF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AC512" s="1"/>
      <c r="AD512" s="1"/>
      <c r="AE512" s="1"/>
      <c r="AF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AC513" s="1"/>
      <c r="AD513" s="1"/>
      <c r="AE513" s="1"/>
      <c r="AF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AC514" s="1"/>
      <c r="AD514" s="1"/>
      <c r="AE514" s="1"/>
      <c r="AF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AC515" s="1"/>
      <c r="AD515" s="1"/>
      <c r="AE515" s="1"/>
      <c r="AF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AC516" s="1"/>
      <c r="AD516" s="1"/>
      <c r="AE516" s="1"/>
      <c r="AF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AC517" s="1"/>
      <c r="AD517" s="1"/>
      <c r="AE517" s="1"/>
      <c r="AF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AC518" s="1"/>
      <c r="AD518" s="1"/>
      <c r="AE518" s="1"/>
      <c r="AF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AC519" s="1"/>
      <c r="AD519" s="1"/>
      <c r="AE519" s="1"/>
      <c r="AF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AC520" s="1"/>
      <c r="AD520" s="1"/>
      <c r="AE520" s="1"/>
      <c r="AF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AC521" s="1"/>
      <c r="AD521" s="1"/>
      <c r="AE521" s="1"/>
      <c r="AF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AC522" s="1"/>
      <c r="AD522" s="1"/>
      <c r="AE522" s="1"/>
      <c r="AF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AC523" s="1"/>
      <c r="AD523" s="1"/>
      <c r="AE523" s="1"/>
      <c r="AF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AC524" s="1"/>
      <c r="AD524" s="1"/>
      <c r="AE524" s="1"/>
      <c r="AF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AC525" s="1"/>
      <c r="AD525" s="1"/>
      <c r="AE525" s="1"/>
      <c r="AF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AC526" s="1"/>
      <c r="AD526" s="1"/>
      <c r="AE526" s="1"/>
      <c r="AF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AC527" s="1"/>
      <c r="AD527" s="1"/>
      <c r="AE527" s="1"/>
      <c r="AF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AC528" s="1"/>
      <c r="AD528" s="1"/>
      <c r="AE528" s="1"/>
      <c r="AF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AC529" s="1"/>
      <c r="AD529" s="1"/>
      <c r="AE529" s="1"/>
      <c r="AF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AC530" s="1"/>
      <c r="AD530" s="1"/>
      <c r="AE530" s="1"/>
      <c r="AF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AC531" s="1"/>
      <c r="AD531" s="1"/>
      <c r="AE531" s="1"/>
      <c r="AF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AC532" s="1"/>
      <c r="AD532" s="1"/>
      <c r="AE532" s="1"/>
      <c r="AF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AC533" s="1"/>
      <c r="AD533" s="1"/>
      <c r="AE533" s="1"/>
      <c r="AF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AC534" s="1"/>
      <c r="AD534" s="1"/>
      <c r="AE534" s="1"/>
      <c r="AF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AC535" s="1"/>
      <c r="AD535" s="1"/>
      <c r="AE535" s="1"/>
      <c r="AF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AC536" s="1"/>
      <c r="AD536" s="1"/>
      <c r="AE536" s="1"/>
      <c r="AF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AC537" s="1"/>
      <c r="AD537" s="1"/>
      <c r="AE537" s="1"/>
      <c r="AF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AC538" s="1"/>
      <c r="AD538" s="1"/>
      <c r="AE538" s="1"/>
      <c r="AF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AC539" s="1"/>
      <c r="AD539" s="1"/>
      <c r="AE539" s="1"/>
      <c r="AF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AC540" s="1"/>
      <c r="AD540" s="1"/>
      <c r="AE540" s="1"/>
      <c r="AF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AC541" s="1"/>
      <c r="AD541" s="1"/>
      <c r="AE541" s="1"/>
      <c r="AF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AC542" s="1"/>
      <c r="AD542" s="1"/>
      <c r="AE542" s="1"/>
      <c r="AF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AC543" s="1"/>
      <c r="AD543" s="1"/>
      <c r="AE543" s="1"/>
      <c r="AF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AC544" s="1"/>
      <c r="AD544" s="1"/>
      <c r="AE544" s="1"/>
      <c r="AF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AC545" s="1"/>
      <c r="AD545" s="1"/>
      <c r="AE545" s="1"/>
      <c r="AF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AC546" s="1"/>
      <c r="AD546" s="1"/>
      <c r="AE546" s="1"/>
      <c r="AF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AC547" s="1"/>
      <c r="AD547" s="1"/>
      <c r="AE547" s="1"/>
      <c r="AF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AC548" s="1"/>
      <c r="AD548" s="1"/>
      <c r="AE548" s="1"/>
      <c r="AF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AC549" s="1"/>
      <c r="AD549" s="1"/>
      <c r="AE549" s="1"/>
      <c r="AF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AC550" s="1"/>
      <c r="AD550" s="1"/>
      <c r="AE550" s="1"/>
      <c r="AF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AC551" s="1"/>
      <c r="AD551" s="1"/>
      <c r="AE551" s="1"/>
      <c r="AF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AC552" s="1"/>
      <c r="AD552" s="1"/>
      <c r="AE552" s="1"/>
      <c r="AF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AC553" s="1"/>
      <c r="AD553" s="1"/>
      <c r="AE553" s="1"/>
      <c r="AF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AC554" s="1"/>
      <c r="AD554" s="1"/>
      <c r="AE554" s="1"/>
      <c r="AF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AC555" s="1"/>
      <c r="AD555" s="1"/>
      <c r="AE555" s="1"/>
      <c r="AF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AC556" s="1"/>
      <c r="AD556" s="1"/>
      <c r="AE556" s="1"/>
      <c r="AF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AC557" s="1"/>
      <c r="AD557" s="1"/>
      <c r="AE557" s="1"/>
      <c r="AF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AC558" s="1"/>
      <c r="AD558" s="1"/>
      <c r="AE558" s="1"/>
      <c r="AF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AC559" s="1"/>
      <c r="AD559" s="1"/>
      <c r="AE559" s="1"/>
      <c r="AF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AC560" s="1"/>
      <c r="AD560" s="1"/>
      <c r="AE560" s="1"/>
      <c r="AF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AC561" s="1"/>
      <c r="AD561" s="1"/>
      <c r="AE561" s="1"/>
      <c r="AF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AC562" s="1"/>
      <c r="AD562" s="1"/>
      <c r="AE562" s="1"/>
      <c r="AF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AC563" s="1"/>
      <c r="AD563" s="1"/>
      <c r="AE563" s="1"/>
      <c r="AF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AC564" s="1"/>
      <c r="AD564" s="1"/>
      <c r="AE564" s="1"/>
      <c r="AF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AC565" s="1"/>
      <c r="AD565" s="1"/>
      <c r="AE565" s="1"/>
      <c r="AF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AC566" s="1"/>
      <c r="AD566" s="1"/>
      <c r="AE566" s="1"/>
      <c r="AF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AC567" s="1"/>
      <c r="AD567" s="1"/>
      <c r="AE567" s="1"/>
      <c r="AF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AC568" s="1"/>
      <c r="AD568" s="1"/>
      <c r="AE568" s="1"/>
      <c r="AF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AC569" s="1"/>
      <c r="AD569" s="1"/>
      <c r="AE569" s="1"/>
      <c r="AF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AC570" s="1"/>
      <c r="AD570" s="1"/>
      <c r="AE570" s="1"/>
      <c r="AF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AC571" s="1"/>
      <c r="AD571" s="1"/>
      <c r="AE571" s="1"/>
      <c r="AF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AC572" s="1"/>
      <c r="AD572" s="1"/>
      <c r="AE572" s="1"/>
      <c r="AF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AC573" s="1"/>
      <c r="AD573" s="1"/>
      <c r="AE573" s="1"/>
      <c r="AF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AC574" s="1"/>
      <c r="AD574" s="1"/>
      <c r="AE574" s="1"/>
      <c r="AF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AC575" s="1"/>
      <c r="AD575" s="1"/>
      <c r="AE575" s="1"/>
      <c r="AF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AC576" s="1"/>
      <c r="AD576" s="1"/>
      <c r="AE576" s="1"/>
      <c r="AF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AC577" s="1"/>
      <c r="AD577" s="1"/>
      <c r="AE577" s="1"/>
      <c r="AF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AC578" s="1"/>
      <c r="AD578" s="1"/>
      <c r="AE578" s="1"/>
      <c r="AF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AC579" s="1"/>
      <c r="AD579" s="1"/>
      <c r="AE579" s="1"/>
      <c r="AF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AC580" s="1"/>
      <c r="AD580" s="1"/>
      <c r="AE580" s="1"/>
      <c r="AF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AC581" s="1"/>
      <c r="AD581" s="1"/>
      <c r="AE581" s="1"/>
      <c r="AF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AC582" s="1"/>
      <c r="AD582" s="1"/>
      <c r="AE582" s="1"/>
      <c r="AF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AC583" s="1"/>
      <c r="AD583" s="1"/>
      <c r="AE583" s="1"/>
      <c r="AF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AC584" s="1"/>
      <c r="AD584" s="1"/>
      <c r="AE584" s="1"/>
      <c r="AF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AC585" s="1"/>
      <c r="AD585" s="1"/>
      <c r="AE585" s="1"/>
      <c r="AF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AC586" s="1"/>
      <c r="AD586" s="1"/>
      <c r="AE586" s="1"/>
      <c r="AF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AC587" s="1"/>
      <c r="AD587" s="1"/>
      <c r="AE587" s="1"/>
      <c r="AF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AC588" s="1"/>
      <c r="AD588" s="1"/>
      <c r="AE588" s="1"/>
      <c r="AF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AC589" s="1"/>
      <c r="AD589" s="1"/>
      <c r="AE589" s="1"/>
      <c r="AF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AC590" s="1"/>
      <c r="AD590" s="1"/>
      <c r="AE590" s="1"/>
      <c r="AF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AC591" s="1"/>
      <c r="AD591" s="1"/>
      <c r="AE591" s="1"/>
      <c r="AF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AC592" s="1"/>
      <c r="AD592" s="1"/>
      <c r="AE592" s="1"/>
      <c r="AF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AC593" s="1"/>
      <c r="AD593" s="1"/>
      <c r="AE593" s="1"/>
      <c r="AF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AC594" s="1"/>
      <c r="AD594" s="1"/>
      <c r="AE594" s="1"/>
      <c r="AF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AC595" s="1"/>
      <c r="AD595" s="1"/>
      <c r="AE595" s="1"/>
      <c r="AF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AC596" s="1"/>
      <c r="AD596" s="1"/>
      <c r="AE596" s="1"/>
      <c r="AF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AC597" s="1"/>
      <c r="AD597" s="1"/>
      <c r="AE597" s="1"/>
      <c r="AF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AC598" s="1"/>
      <c r="AD598" s="1"/>
      <c r="AE598" s="1"/>
      <c r="AF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AC599" s="1"/>
      <c r="AD599" s="1"/>
      <c r="AE599" s="1"/>
      <c r="AF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AC600" s="1"/>
      <c r="AD600" s="1"/>
      <c r="AE600" s="1"/>
      <c r="AF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AC601" s="1"/>
      <c r="AD601" s="1"/>
      <c r="AE601" s="1"/>
      <c r="AF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AC602" s="1"/>
      <c r="AD602" s="1"/>
      <c r="AE602" s="1"/>
      <c r="AF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AC603" s="1"/>
      <c r="AD603" s="1"/>
      <c r="AE603" s="1"/>
      <c r="AF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AC604" s="1"/>
      <c r="AD604" s="1"/>
      <c r="AE604" s="1"/>
      <c r="AF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AC605" s="1"/>
      <c r="AD605" s="1"/>
      <c r="AE605" s="1"/>
      <c r="AF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AC606" s="1"/>
      <c r="AD606" s="1"/>
      <c r="AE606" s="1"/>
      <c r="AF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AC607" s="1"/>
      <c r="AD607" s="1"/>
      <c r="AE607" s="1"/>
      <c r="AF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AC608" s="1"/>
      <c r="AD608" s="1"/>
      <c r="AE608" s="1"/>
      <c r="AF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AC609" s="1"/>
      <c r="AD609" s="1"/>
      <c r="AE609" s="1"/>
      <c r="AF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AC610" s="1"/>
      <c r="AD610" s="1"/>
      <c r="AE610" s="1"/>
      <c r="AF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AC611" s="1"/>
      <c r="AD611" s="1"/>
      <c r="AE611" s="1"/>
      <c r="AF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AC612" s="1"/>
      <c r="AD612" s="1"/>
      <c r="AE612" s="1"/>
      <c r="AF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AC613" s="1"/>
      <c r="AD613" s="1"/>
      <c r="AE613" s="1"/>
      <c r="AF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AC614" s="1"/>
      <c r="AD614" s="1"/>
      <c r="AE614" s="1"/>
      <c r="AF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AC615" s="1"/>
      <c r="AD615" s="1"/>
      <c r="AE615" s="1"/>
      <c r="AF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AC616" s="1"/>
      <c r="AD616" s="1"/>
      <c r="AE616" s="1"/>
      <c r="AF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AC617" s="1"/>
      <c r="AD617" s="1"/>
      <c r="AE617" s="1"/>
      <c r="AF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AC618" s="1"/>
      <c r="AD618" s="1"/>
      <c r="AE618" s="1"/>
      <c r="AF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AC619" s="1"/>
      <c r="AD619" s="1"/>
      <c r="AE619" s="1"/>
      <c r="AF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AC620" s="1"/>
      <c r="AD620" s="1"/>
      <c r="AE620" s="1"/>
      <c r="AF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AC621" s="1"/>
      <c r="AD621" s="1"/>
      <c r="AE621" s="1"/>
      <c r="AF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AC622" s="1"/>
      <c r="AD622" s="1"/>
      <c r="AE622" s="1"/>
      <c r="AF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AC623" s="1"/>
      <c r="AD623" s="1"/>
      <c r="AE623" s="1"/>
      <c r="AF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AC624" s="1"/>
      <c r="AD624" s="1"/>
      <c r="AE624" s="1"/>
      <c r="AF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AC625" s="1"/>
      <c r="AD625" s="1"/>
      <c r="AE625" s="1"/>
      <c r="AF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AC626" s="1"/>
      <c r="AD626" s="1"/>
      <c r="AE626" s="1"/>
      <c r="AF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AC627" s="1"/>
      <c r="AD627" s="1"/>
      <c r="AE627" s="1"/>
      <c r="AF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AC628" s="1"/>
      <c r="AD628" s="1"/>
      <c r="AE628" s="1"/>
      <c r="AF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AC629" s="1"/>
      <c r="AD629" s="1"/>
      <c r="AE629" s="1"/>
      <c r="AF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AC630" s="1"/>
      <c r="AD630" s="1"/>
      <c r="AE630" s="1"/>
      <c r="AF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AC631" s="1"/>
      <c r="AD631" s="1"/>
      <c r="AE631" s="1"/>
      <c r="AF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AC632" s="1"/>
      <c r="AD632" s="1"/>
      <c r="AE632" s="1"/>
      <c r="AF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AC633" s="1"/>
      <c r="AD633" s="1"/>
      <c r="AE633" s="1"/>
      <c r="AF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AC634" s="1"/>
      <c r="AD634" s="1"/>
      <c r="AE634" s="1"/>
      <c r="AF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AC635" s="1"/>
      <c r="AD635" s="1"/>
      <c r="AE635" s="1"/>
      <c r="AF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AC636" s="1"/>
      <c r="AD636" s="1"/>
      <c r="AE636" s="1"/>
      <c r="AF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AC637" s="1"/>
      <c r="AD637" s="1"/>
      <c r="AE637" s="1"/>
      <c r="AF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AC638" s="1"/>
      <c r="AD638" s="1"/>
      <c r="AE638" s="1"/>
      <c r="AF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AC639" s="1"/>
      <c r="AD639" s="1"/>
      <c r="AE639" s="1"/>
      <c r="AF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AC640" s="1"/>
      <c r="AD640" s="1"/>
      <c r="AE640" s="1"/>
      <c r="AF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AC641" s="1"/>
      <c r="AD641" s="1"/>
      <c r="AE641" s="1"/>
      <c r="AF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AC642" s="1"/>
      <c r="AD642" s="1"/>
      <c r="AE642" s="1"/>
      <c r="AF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AC643" s="1"/>
      <c r="AD643" s="1"/>
      <c r="AE643" s="1"/>
      <c r="AF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AC644" s="1"/>
      <c r="AD644" s="1"/>
      <c r="AE644" s="1"/>
      <c r="AF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AC645" s="1"/>
      <c r="AD645" s="1"/>
      <c r="AE645" s="1"/>
      <c r="AF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AC646" s="1"/>
      <c r="AD646" s="1"/>
      <c r="AE646" s="1"/>
      <c r="AF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AC647" s="1"/>
      <c r="AD647" s="1"/>
      <c r="AE647" s="1"/>
      <c r="AF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AC648" s="1"/>
      <c r="AD648" s="1"/>
      <c r="AE648" s="1"/>
      <c r="AF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AC649" s="1"/>
      <c r="AD649" s="1"/>
      <c r="AE649" s="1"/>
      <c r="AF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AC650" s="1"/>
      <c r="AD650" s="1"/>
      <c r="AE650" s="1"/>
      <c r="AF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AC651" s="1"/>
      <c r="AD651" s="1"/>
      <c r="AE651" s="1"/>
      <c r="AF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AC652" s="1"/>
      <c r="AD652" s="1"/>
      <c r="AE652" s="1"/>
      <c r="AF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AC653" s="1"/>
      <c r="AD653" s="1"/>
      <c r="AE653" s="1"/>
      <c r="AF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AC654" s="1"/>
      <c r="AD654" s="1"/>
      <c r="AE654" s="1"/>
      <c r="AF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AC655" s="1"/>
      <c r="AD655" s="1"/>
      <c r="AE655" s="1"/>
      <c r="AF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AC656" s="1"/>
      <c r="AD656" s="1"/>
      <c r="AE656" s="1"/>
      <c r="AF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AC657" s="1"/>
      <c r="AD657" s="1"/>
      <c r="AE657" s="1"/>
      <c r="AF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AC658" s="1"/>
      <c r="AD658" s="1"/>
      <c r="AE658" s="1"/>
      <c r="AF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AC659" s="1"/>
      <c r="AD659" s="1"/>
      <c r="AE659" s="1"/>
      <c r="AF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AC660" s="1"/>
      <c r="AD660" s="1"/>
      <c r="AE660" s="1"/>
      <c r="AF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AC661" s="1"/>
      <c r="AD661" s="1"/>
      <c r="AE661" s="1"/>
      <c r="AF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AC662" s="1"/>
      <c r="AD662" s="1"/>
      <c r="AE662" s="1"/>
      <c r="AF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AC663" s="1"/>
      <c r="AD663" s="1"/>
      <c r="AE663" s="1"/>
      <c r="AF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AC664" s="1"/>
      <c r="AD664" s="1"/>
      <c r="AE664" s="1"/>
      <c r="AF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AC665" s="1"/>
      <c r="AD665" s="1"/>
      <c r="AE665" s="1"/>
      <c r="AF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AC666" s="1"/>
      <c r="AD666" s="1"/>
      <c r="AE666" s="1"/>
      <c r="AF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AC667" s="1"/>
      <c r="AD667" s="1"/>
      <c r="AE667" s="1"/>
      <c r="AF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AC668" s="1"/>
      <c r="AD668" s="1"/>
      <c r="AE668" s="1"/>
      <c r="AF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AC669" s="1"/>
      <c r="AD669" s="1"/>
      <c r="AE669" s="1"/>
      <c r="AF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AC670" s="1"/>
      <c r="AD670" s="1"/>
      <c r="AE670" s="1"/>
      <c r="AF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AC671" s="1"/>
      <c r="AD671" s="1"/>
      <c r="AE671" s="1"/>
      <c r="AF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AC672" s="1"/>
      <c r="AD672" s="1"/>
      <c r="AE672" s="1"/>
      <c r="AF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AC673" s="1"/>
      <c r="AD673" s="1"/>
      <c r="AE673" s="1"/>
      <c r="AF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AC674" s="1"/>
      <c r="AD674" s="1"/>
      <c r="AE674" s="1"/>
      <c r="AF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AC675" s="1"/>
      <c r="AD675" s="1"/>
      <c r="AE675" s="1"/>
      <c r="AF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AC676" s="1"/>
      <c r="AD676" s="1"/>
      <c r="AE676" s="1"/>
      <c r="AF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AC677" s="1"/>
      <c r="AD677" s="1"/>
      <c r="AE677" s="1"/>
      <c r="AF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AC678" s="1"/>
      <c r="AD678" s="1"/>
      <c r="AE678" s="1"/>
      <c r="AF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AC679" s="1"/>
      <c r="AD679" s="1"/>
      <c r="AE679" s="1"/>
      <c r="AF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AC680" s="1"/>
      <c r="AD680" s="1"/>
      <c r="AE680" s="1"/>
      <c r="AF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AC681" s="1"/>
      <c r="AD681" s="1"/>
      <c r="AE681" s="1"/>
      <c r="AF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AC682" s="1"/>
      <c r="AD682" s="1"/>
      <c r="AE682" s="1"/>
      <c r="AF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AC683" s="1"/>
      <c r="AD683" s="1"/>
      <c r="AE683" s="1"/>
      <c r="AF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AC684" s="1"/>
      <c r="AD684" s="1"/>
      <c r="AE684" s="1"/>
      <c r="AF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AC685" s="1"/>
      <c r="AD685" s="1"/>
      <c r="AE685" s="1"/>
      <c r="AF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AC686" s="1"/>
      <c r="AD686" s="1"/>
      <c r="AE686" s="1"/>
      <c r="AF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AC687" s="1"/>
      <c r="AD687" s="1"/>
      <c r="AE687" s="1"/>
      <c r="AF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AC688" s="1"/>
      <c r="AD688" s="1"/>
      <c r="AE688" s="1"/>
      <c r="AF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AC689" s="1"/>
      <c r="AD689" s="1"/>
      <c r="AE689" s="1"/>
      <c r="AF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AC690" s="1"/>
      <c r="AD690" s="1"/>
      <c r="AE690" s="1"/>
      <c r="AF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AC691" s="1"/>
      <c r="AD691" s="1"/>
      <c r="AE691" s="1"/>
      <c r="AF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AC692" s="1"/>
      <c r="AD692" s="1"/>
      <c r="AE692" s="1"/>
      <c r="AF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AC693" s="1"/>
      <c r="AD693" s="1"/>
      <c r="AE693" s="1"/>
      <c r="AF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AC694" s="1"/>
      <c r="AD694" s="1"/>
      <c r="AE694" s="1"/>
      <c r="AF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AC695" s="1"/>
      <c r="AD695" s="1"/>
      <c r="AE695" s="1"/>
      <c r="AF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AC696" s="1"/>
      <c r="AD696" s="1"/>
      <c r="AE696" s="1"/>
      <c r="AF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AC697" s="1"/>
      <c r="AD697" s="1"/>
      <c r="AE697" s="1"/>
      <c r="AF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AC698" s="1"/>
      <c r="AD698" s="1"/>
      <c r="AE698" s="1"/>
      <c r="AF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AC699" s="1"/>
      <c r="AD699" s="1"/>
      <c r="AE699" s="1"/>
      <c r="AF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AC700" s="1"/>
      <c r="AD700" s="1"/>
      <c r="AE700" s="1"/>
      <c r="AF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AC701" s="1"/>
      <c r="AD701" s="1"/>
      <c r="AE701" s="1"/>
      <c r="AF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AC702" s="1"/>
      <c r="AD702" s="1"/>
      <c r="AE702" s="1"/>
      <c r="AF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AC703" s="1"/>
      <c r="AD703" s="1"/>
      <c r="AE703" s="1"/>
      <c r="AF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AC704" s="1"/>
      <c r="AD704" s="1"/>
      <c r="AE704" s="1"/>
      <c r="AF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AC705" s="1"/>
      <c r="AD705" s="1"/>
      <c r="AE705" s="1"/>
      <c r="AF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AC706" s="1"/>
      <c r="AD706" s="1"/>
      <c r="AE706" s="1"/>
      <c r="AF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AC707" s="1"/>
      <c r="AD707" s="1"/>
      <c r="AE707" s="1"/>
      <c r="AF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AC708" s="1"/>
      <c r="AD708" s="1"/>
      <c r="AE708" s="1"/>
      <c r="AF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AC709" s="1"/>
      <c r="AD709" s="1"/>
      <c r="AE709" s="1"/>
      <c r="AF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AC710" s="1"/>
      <c r="AD710" s="1"/>
      <c r="AE710" s="1"/>
      <c r="AF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AC711" s="1"/>
      <c r="AD711" s="1"/>
      <c r="AE711" s="1"/>
      <c r="AF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AC712" s="1"/>
      <c r="AD712" s="1"/>
      <c r="AE712" s="1"/>
      <c r="AF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AC713" s="1"/>
      <c r="AD713" s="1"/>
      <c r="AE713" s="1"/>
      <c r="AF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AC714" s="1"/>
      <c r="AD714" s="1"/>
      <c r="AE714" s="1"/>
      <c r="AF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AC715" s="1"/>
      <c r="AD715" s="1"/>
      <c r="AE715" s="1"/>
      <c r="AF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AC716" s="1"/>
      <c r="AD716" s="1"/>
      <c r="AE716" s="1"/>
      <c r="AF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AC717" s="1"/>
      <c r="AD717" s="1"/>
      <c r="AE717" s="1"/>
      <c r="AF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AC718" s="1"/>
      <c r="AD718" s="1"/>
      <c r="AE718" s="1"/>
      <c r="AF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AC719" s="1"/>
      <c r="AD719" s="1"/>
      <c r="AE719" s="1"/>
      <c r="AF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AC720" s="1"/>
      <c r="AD720" s="1"/>
      <c r="AE720" s="1"/>
      <c r="AF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AC721" s="1"/>
      <c r="AD721" s="1"/>
      <c r="AE721" s="1"/>
      <c r="AF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AC722" s="1"/>
      <c r="AD722" s="1"/>
      <c r="AE722" s="1"/>
      <c r="AF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AC723" s="1"/>
      <c r="AD723" s="1"/>
      <c r="AE723" s="1"/>
      <c r="AF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AC724" s="1"/>
      <c r="AD724" s="1"/>
      <c r="AE724" s="1"/>
      <c r="AF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AC725" s="1"/>
      <c r="AD725" s="1"/>
      <c r="AE725" s="1"/>
      <c r="AF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AC726" s="1"/>
      <c r="AD726" s="1"/>
      <c r="AE726" s="1"/>
      <c r="AF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AC727" s="1"/>
      <c r="AD727" s="1"/>
      <c r="AE727" s="1"/>
      <c r="AF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AC728" s="1"/>
      <c r="AD728" s="1"/>
      <c r="AE728" s="1"/>
      <c r="AF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AC729" s="1"/>
      <c r="AD729" s="1"/>
      <c r="AE729" s="1"/>
      <c r="AF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AC730" s="1"/>
      <c r="AD730" s="1"/>
      <c r="AE730" s="1"/>
      <c r="AF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AC731" s="1"/>
      <c r="AD731" s="1"/>
      <c r="AE731" s="1"/>
      <c r="AF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AC732" s="1"/>
      <c r="AD732" s="1"/>
      <c r="AE732" s="1"/>
      <c r="AF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AC733" s="1"/>
      <c r="AD733" s="1"/>
      <c r="AE733" s="1"/>
      <c r="AF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AC734" s="1"/>
      <c r="AD734" s="1"/>
      <c r="AE734" s="1"/>
      <c r="AF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AC735" s="1"/>
      <c r="AD735" s="1"/>
      <c r="AE735" s="1"/>
      <c r="AF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AC736" s="1"/>
      <c r="AD736" s="1"/>
      <c r="AE736" s="1"/>
      <c r="AF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AC737" s="1"/>
      <c r="AD737" s="1"/>
      <c r="AE737" s="1"/>
      <c r="AF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AC738" s="1"/>
      <c r="AD738" s="1"/>
      <c r="AE738" s="1"/>
      <c r="AF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AC739" s="1"/>
      <c r="AD739" s="1"/>
      <c r="AE739" s="1"/>
      <c r="AF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AC740" s="1"/>
      <c r="AD740" s="1"/>
      <c r="AE740" s="1"/>
      <c r="AF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AC741" s="1"/>
      <c r="AD741" s="1"/>
      <c r="AE741" s="1"/>
      <c r="AF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AC742" s="1"/>
      <c r="AD742" s="1"/>
      <c r="AE742" s="1"/>
      <c r="AF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AC743" s="1"/>
      <c r="AD743" s="1"/>
      <c r="AE743" s="1"/>
      <c r="AF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AC744" s="1"/>
      <c r="AD744" s="1"/>
      <c r="AE744" s="1"/>
      <c r="AF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AC745" s="1"/>
      <c r="AD745" s="1"/>
      <c r="AE745" s="1"/>
      <c r="AF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AC746" s="1"/>
      <c r="AD746" s="1"/>
      <c r="AE746" s="1"/>
      <c r="AF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AC747" s="1"/>
      <c r="AD747" s="1"/>
      <c r="AE747" s="1"/>
      <c r="AF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AC748" s="1"/>
      <c r="AD748" s="1"/>
      <c r="AE748" s="1"/>
      <c r="AF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AC749" s="1"/>
      <c r="AD749" s="1"/>
      <c r="AE749" s="1"/>
      <c r="AF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AC750" s="1"/>
      <c r="AD750" s="1"/>
      <c r="AE750" s="1"/>
      <c r="AF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AC751" s="1"/>
      <c r="AD751" s="1"/>
      <c r="AE751" s="1"/>
      <c r="AF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AC752" s="1"/>
      <c r="AD752" s="1"/>
      <c r="AE752" s="1"/>
      <c r="AF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AC753" s="1"/>
      <c r="AD753" s="1"/>
      <c r="AE753" s="1"/>
      <c r="AF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AC754" s="1"/>
      <c r="AD754" s="1"/>
      <c r="AE754" s="1"/>
      <c r="AF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AC755" s="1"/>
      <c r="AD755" s="1"/>
      <c r="AE755" s="1"/>
      <c r="AF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AC756" s="1"/>
      <c r="AD756" s="1"/>
      <c r="AE756" s="1"/>
      <c r="AF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AC757" s="1"/>
      <c r="AD757" s="1"/>
      <c r="AE757" s="1"/>
      <c r="AF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AC758" s="1"/>
      <c r="AD758" s="1"/>
      <c r="AE758" s="1"/>
      <c r="AF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AC759" s="1"/>
      <c r="AD759" s="1"/>
      <c r="AE759" s="1"/>
      <c r="AF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AC760" s="1"/>
      <c r="AD760" s="1"/>
      <c r="AE760" s="1"/>
      <c r="AF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AC761" s="1"/>
      <c r="AD761" s="1"/>
      <c r="AE761" s="1"/>
      <c r="AF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AC762" s="1"/>
      <c r="AD762" s="1"/>
      <c r="AE762" s="1"/>
      <c r="AF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AC763" s="1"/>
      <c r="AD763" s="1"/>
      <c r="AE763" s="1"/>
      <c r="AF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AC764" s="1"/>
      <c r="AD764" s="1"/>
      <c r="AE764" s="1"/>
      <c r="AF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AC765" s="1"/>
      <c r="AD765" s="1"/>
      <c r="AE765" s="1"/>
      <c r="AF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AC766" s="1"/>
      <c r="AD766" s="1"/>
      <c r="AE766" s="1"/>
      <c r="AF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AC767" s="1"/>
      <c r="AD767" s="1"/>
      <c r="AE767" s="1"/>
      <c r="AF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AC768" s="1"/>
      <c r="AD768" s="1"/>
      <c r="AE768" s="1"/>
      <c r="AF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AC769" s="1"/>
      <c r="AD769" s="1"/>
      <c r="AE769" s="1"/>
      <c r="AF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AC770" s="1"/>
      <c r="AD770" s="1"/>
      <c r="AE770" s="1"/>
      <c r="AF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AC771" s="1"/>
      <c r="AD771" s="1"/>
      <c r="AE771" s="1"/>
      <c r="AF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AC772" s="1"/>
      <c r="AD772" s="1"/>
      <c r="AE772" s="1"/>
      <c r="AF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AC773" s="1"/>
      <c r="AD773" s="1"/>
      <c r="AE773" s="1"/>
      <c r="AF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AC774" s="1"/>
      <c r="AD774" s="1"/>
      <c r="AE774" s="1"/>
      <c r="AF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AC775" s="1"/>
      <c r="AD775" s="1"/>
      <c r="AE775" s="1"/>
      <c r="AF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AC776" s="1"/>
      <c r="AD776" s="1"/>
      <c r="AE776" s="1"/>
      <c r="AF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AC777" s="1"/>
      <c r="AD777" s="1"/>
      <c r="AE777" s="1"/>
      <c r="AF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AC778" s="1"/>
      <c r="AD778" s="1"/>
      <c r="AE778" s="1"/>
      <c r="AF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AC779" s="1"/>
      <c r="AD779" s="1"/>
      <c r="AE779" s="1"/>
      <c r="AF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AC780" s="1"/>
      <c r="AD780" s="1"/>
      <c r="AE780" s="1"/>
      <c r="AF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AC781" s="1"/>
      <c r="AD781" s="1"/>
      <c r="AE781" s="1"/>
      <c r="AF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AC782" s="1"/>
      <c r="AD782" s="1"/>
      <c r="AE782" s="1"/>
      <c r="AF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AC783" s="1"/>
      <c r="AD783" s="1"/>
      <c r="AE783" s="1"/>
      <c r="AF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AC784" s="1"/>
      <c r="AD784" s="1"/>
      <c r="AE784" s="1"/>
      <c r="AF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AC785" s="1"/>
      <c r="AD785" s="1"/>
      <c r="AE785" s="1"/>
      <c r="AF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AC786" s="1"/>
      <c r="AD786" s="1"/>
      <c r="AE786" s="1"/>
      <c r="AF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AC787" s="1"/>
      <c r="AD787" s="1"/>
      <c r="AE787" s="1"/>
      <c r="AF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AC788" s="1"/>
      <c r="AD788" s="1"/>
      <c r="AE788" s="1"/>
      <c r="AF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AC789" s="1"/>
      <c r="AD789" s="1"/>
      <c r="AE789" s="1"/>
      <c r="AF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AC790" s="1"/>
      <c r="AD790" s="1"/>
      <c r="AE790" s="1"/>
      <c r="AF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AC791" s="1"/>
      <c r="AD791" s="1"/>
      <c r="AE791" s="1"/>
      <c r="AF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AC792" s="1"/>
      <c r="AD792" s="1"/>
      <c r="AE792" s="1"/>
      <c r="AF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AC793" s="1"/>
      <c r="AD793" s="1"/>
      <c r="AE793" s="1"/>
      <c r="AF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AC794" s="1"/>
      <c r="AD794" s="1"/>
      <c r="AE794" s="1"/>
      <c r="AF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AC795" s="1"/>
      <c r="AD795" s="1"/>
      <c r="AE795" s="1"/>
      <c r="AF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AC796" s="1"/>
      <c r="AD796" s="1"/>
      <c r="AE796" s="1"/>
      <c r="AF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AC797" s="1"/>
      <c r="AD797" s="1"/>
      <c r="AE797" s="1"/>
      <c r="AF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AC798" s="1"/>
      <c r="AD798" s="1"/>
      <c r="AE798" s="1"/>
      <c r="AF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AC799" s="1"/>
      <c r="AD799" s="1"/>
      <c r="AE799" s="1"/>
      <c r="AF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AC800" s="1"/>
      <c r="AD800" s="1"/>
      <c r="AE800" s="1"/>
      <c r="AF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AC801" s="1"/>
      <c r="AD801" s="1"/>
      <c r="AE801" s="1"/>
      <c r="AF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AC802" s="1"/>
      <c r="AD802" s="1"/>
      <c r="AE802" s="1"/>
      <c r="AF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AC803" s="1"/>
      <c r="AD803" s="1"/>
      <c r="AE803" s="1"/>
      <c r="AF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AC804" s="1"/>
      <c r="AD804" s="1"/>
      <c r="AE804" s="1"/>
      <c r="AF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AC805" s="1"/>
      <c r="AD805" s="1"/>
      <c r="AE805" s="1"/>
      <c r="AF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AC806" s="1"/>
      <c r="AD806" s="1"/>
      <c r="AE806" s="1"/>
      <c r="AF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AC807" s="1"/>
      <c r="AD807" s="1"/>
      <c r="AE807" s="1"/>
      <c r="AF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AC808" s="1"/>
      <c r="AD808" s="1"/>
      <c r="AE808" s="1"/>
      <c r="AF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AC809" s="1"/>
      <c r="AD809" s="1"/>
      <c r="AE809" s="1"/>
      <c r="AF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AC810" s="1"/>
      <c r="AD810" s="1"/>
      <c r="AE810" s="1"/>
      <c r="AF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AC811" s="1"/>
      <c r="AD811" s="1"/>
      <c r="AE811" s="1"/>
      <c r="AF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AC812" s="1"/>
      <c r="AD812" s="1"/>
      <c r="AE812" s="1"/>
      <c r="AF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AC813" s="1"/>
      <c r="AD813" s="1"/>
      <c r="AE813" s="1"/>
      <c r="AF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AC814" s="1"/>
      <c r="AD814" s="1"/>
      <c r="AE814" s="1"/>
      <c r="AF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AC815" s="1"/>
      <c r="AD815" s="1"/>
      <c r="AE815" s="1"/>
      <c r="AF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AC816" s="1"/>
      <c r="AD816" s="1"/>
      <c r="AE816" s="1"/>
      <c r="AF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AC817" s="1"/>
      <c r="AD817" s="1"/>
      <c r="AE817" s="1"/>
      <c r="AF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AC818" s="1"/>
      <c r="AD818" s="1"/>
      <c r="AE818" s="1"/>
      <c r="AF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AC819" s="1"/>
      <c r="AD819" s="1"/>
      <c r="AE819" s="1"/>
      <c r="AF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AC820" s="1"/>
      <c r="AD820" s="1"/>
      <c r="AE820" s="1"/>
      <c r="AF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AC821" s="1"/>
      <c r="AD821" s="1"/>
      <c r="AE821" s="1"/>
      <c r="AF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AC822" s="1"/>
      <c r="AD822" s="1"/>
      <c r="AE822" s="1"/>
      <c r="AF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AC823" s="1"/>
      <c r="AD823" s="1"/>
      <c r="AE823" s="1"/>
      <c r="AF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AC824" s="1"/>
      <c r="AD824" s="1"/>
      <c r="AE824" s="1"/>
      <c r="AF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AC825" s="1"/>
      <c r="AD825" s="1"/>
      <c r="AE825" s="1"/>
      <c r="AF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AC826" s="1"/>
      <c r="AD826" s="1"/>
      <c r="AE826" s="1"/>
      <c r="AF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AC827" s="1"/>
      <c r="AD827" s="1"/>
      <c r="AE827" s="1"/>
      <c r="AF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AC828" s="1"/>
      <c r="AD828" s="1"/>
      <c r="AE828" s="1"/>
      <c r="AF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AC829" s="1"/>
      <c r="AD829" s="1"/>
      <c r="AE829" s="1"/>
      <c r="AF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AC830" s="1"/>
      <c r="AD830" s="1"/>
      <c r="AE830" s="1"/>
      <c r="AF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AC831" s="1"/>
      <c r="AD831" s="1"/>
      <c r="AE831" s="1"/>
      <c r="AF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AC832" s="1"/>
      <c r="AD832" s="1"/>
      <c r="AE832" s="1"/>
      <c r="AF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AC833" s="1"/>
      <c r="AD833" s="1"/>
      <c r="AE833" s="1"/>
      <c r="AF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AC834" s="1"/>
      <c r="AD834" s="1"/>
      <c r="AE834" s="1"/>
      <c r="AF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AC835" s="1"/>
      <c r="AD835" s="1"/>
      <c r="AE835" s="1"/>
      <c r="AF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AC836" s="1"/>
      <c r="AD836" s="1"/>
      <c r="AE836" s="1"/>
      <c r="AF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AC837" s="1"/>
      <c r="AD837" s="1"/>
      <c r="AE837" s="1"/>
      <c r="AF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AC838" s="1"/>
      <c r="AD838" s="1"/>
      <c r="AE838" s="1"/>
      <c r="AF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AC839" s="1"/>
      <c r="AD839" s="1"/>
      <c r="AE839" s="1"/>
      <c r="AF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AC840" s="1"/>
      <c r="AD840" s="1"/>
      <c r="AE840" s="1"/>
      <c r="AF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AC841" s="1"/>
      <c r="AD841" s="1"/>
      <c r="AE841" s="1"/>
      <c r="AF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AC842" s="1"/>
      <c r="AD842" s="1"/>
      <c r="AE842" s="1"/>
      <c r="AF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AC843" s="1"/>
      <c r="AD843" s="1"/>
      <c r="AE843" s="1"/>
      <c r="AF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AC844" s="1"/>
      <c r="AD844" s="1"/>
      <c r="AE844" s="1"/>
      <c r="AF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AC845" s="1"/>
      <c r="AD845" s="1"/>
      <c r="AE845" s="1"/>
      <c r="AF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AC846" s="1"/>
      <c r="AD846" s="1"/>
      <c r="AE846" s="1"/>
      <c r="AF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AC847" s="1"/>
      <c r="AD847" s="1"/>
      <c r="AE847" s="1"/>
      <c r="AF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AC848" s="1"/>
      <c r="AD848" s="1"/>
      <c r="AE848" s="1"/>
      <c r="AF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AC849" s="1"/>
      <c r="AD849" s="1"/>
      <c r="AE849" s="1"/>
      <c r="AF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AC850" s="1"/>
      <c r="AD850" s="1"/>
      <c r="AE850" s="1"/>
      <c r="AF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AC851" s="1"/>
      <c r="AD851" s="1"/>
      <c r="AE851" s="1"/>
      <c r="AF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AC852" s="1"/>
      <c r="AD852" s="1"/>
      <c r="AE852" s="1"/>
      <c r="AF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AC853" s="1"/>
      <c r="AD853" s="1"/>
      <c r="AE853" s="1"/>
      <c r="AF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AC854" s="1"/>
      <c r="AD854" s="1"/>
      <c r="AE854" s="1"/>
      <c r="AF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AC855" s="1"/>
      <c r="AD855" s="1"/>
      <c r="AE855" s="1"/>
      <c r="AF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AC856" s="1"/>
      <c r="AD856" s="1"/>
      <c r="AE856" s="1"/>
      <c r="AF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AC857" s="1"/>
      <c r="AD857" s="1"/>
      <c r="AE857" s="1"/>
      <c r="AF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AC858" s="1"/>
      <c r="AD858" s="1"/>
      <c r="AE858" s="1"/>
      <c r="AF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AC859" s="1"/>
      <c r="AD859" s="1"/>
      <c r="AE859" s="1"/>
      <c r="AF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AC860" s="1"/>
      <c r="AD860" s="1"/>
      <c r="AE860" s="1"/>
      <c r="AF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AC861" s="1"/>
      <c r="AD861" s="1"/>
      <c r="AE861" s="1"/>
      <c r="AF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AC862" s="1"/>
      <c r="AD862" s="1"/>
      <c r="AE862" s="1"/>
      <c r="AF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AC863" s="1"/>
      <c r="AD863" s="1"/>
      <c r="AE863" s="1"/>
      <c r="AF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AC864" s="1"/>
      <c r="AD864" s="1"/>
      <c r="AE864" s="1"/>
      <c r="AF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AC865" s="1"/>
      <c r="AD865" s="1"/>
      <c r="AE865" s="1"/>
      <c r="AF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AC866" s="1"/>
      <c r="AD866" s="1"/>
      <c r="AE866" s="1"/>
      <c r="AF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AC867" s="1"/>
      <c r="AD867" s="1"/>
      <c r="AE867" s="1"/>
      <c r="AF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AC868" s="1"/>
      <c r="AD868" s="1"/>
      <c r="AE868" s="1"/>
      <c r="AF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AC869" s="1"/>
      <c r="AD869" s="1"/>
      <c r="AE869" s="1"/>
      <c r="AF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AC870" s="1"/>
      <c r="AD870" s="1"/>
      <c r="AE870" s="1"/>
      <c r="AF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AC871" s="1"/>
      <c r="AD871" s="1"/>
      <c r="AE871" s="1"/>
      <c r="AF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AC872" s="1"/>
      <c r="AD872" s="1"/>
      <c r="AE872" s="1"/>
      <c r="AF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AC873" s="1"/>
      <c r="AD873" s="1"/>
      <c r="AE873" s="1"/>
      <c r="AF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AC874" s="1"/>
      <c r="AD874" s="1"/>
      <c r="AE874" s="1"/>
      <c r="AF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AC875" s="1"/>
      <c r="AD875" s="1"/>
      <c r="AE875" s="1"/>
      <c r="AF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AC876" s="1"/>
      <c r="AD876" s="1"/>
      <c r="AE876" s="1"/>
      <c r="AF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AC877" s="1"/>
      <c r="AD877" s="1"/>
      <c r="AE877" s="1"/>
      <c r="AF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AC878" s="1"/>
      <c r="AD878" s="1"/>
      <c r="AE878" s="1"/>
      <c r="AF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AC879" s="1"/>
      <c r="AD879" s="1"/>
      <c r="AE879" s="1"/>
      <c r="AF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AC880" s="1"/>
      <c r="AD880" s="1"/>
      <c r="AE880" s="1"/>
      <c r="AF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AC881" s="1"/>
      <c r="AD881" s="1"/>
      <c r="AE881" s="1"/>
      <c r="AF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AC882" s="1"/>
      <c r="AD882" s="1"/>
      <c r="AE882" s="1"/>
      <c r="AF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AC883" s="1"/>
      <c r="AD883" s="1"/>
      <c r="AE883" s="1"/>
      <c r="AF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AC884" s="1"/>
      <c r="AD884" s="1"/>
      <c r="AE884" s="1"/>
      <c r="AF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AC885" s="1"/>
      <c r="AD885" s="1"/>
      <c r="AE885" s="1"/>
      <c r="AF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AC886" s="1"/>
      <c r="AD886" s="1"/>
      <c r="AE886" s="1"/>
      <c r="AF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AC887" s="1"/>
      <c r="AD887" s="1"/>
      <c r="AE887" s="1"/>
      <c r="AF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AC888" s="1"/>
      <c r="AD888" s="1"/>
      <c r="AE888" s="1"/>
      <c r="AF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AC889" s="1"/>
      <c r="AD889" s="1"/>
      <c r="AE889" s="1"/>
      <c r="AF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AC890" s="1"/>
      <c r="AD890" s="1"/>
      <c r="AE890" s="1"/>
      <c r="AF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AC891" s="1"/>
      <c r="AD891" s="1"/>
      <c r="AE891" s="1"/>
      <c r="AF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AC892" s="1"/>
      <c r="AD892" s="1"/>
      <c r="AE892" s="1"/>
      <c r="AF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AC893" s="1"/>
      <c r="AD893" s="1"/>
      <c r="AE893" s="1"/>
      <c r="AF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AC894" s="1"/>
      <c r="AD894" s="1"/>
      <c r="AE894" s="1"/>
      <c r="AF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AC895" s="1"/>
      <c r="AD895" s="1"/>
      <c r="AE895" s="1"/>
      <c r="AF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AC896" s="1"/>
      <c r="AD896" s="1"/>
      <c r="AE896" s="1"/>
      <c r="AF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AC897" s="1"/>
      <c r="AD897" s="1"/>
      <c r="AE897" s="1"/>
      <c r="AF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AC898" s="1"/>
      <c r="AD898" s="1"/>
      <c r="AE898" s="1"/>
      <c r="AF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AC899" s="1"/>
      <c r="AD899" s="1"/>
      <c r="AE899" s="1"/>
      <c r="AF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AC900" s="1"/>
      <c r="AD900" s="1"/>
      <c r="AE900" s="1"/>
      <c r="AF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AC901" s="1"/>
      <c r="AD901" s="1"/>
      <c r="AE901" s="1"/>
      <c r="AF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AC902" s="1"/>
      <c r="AD902" s="1"/>
      <c r="AE902" s="1"/>
      <c r="AF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AC903" s="1"/>
      <c r="AD903" s="1"/>
      <c r="AE903" s="1"/>
      <c r="AF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AC904" s="1"/>
      <c r="AD904" s="1"/>
      <c r="AE904" s="1"/>
      <c r="AF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AC905" s="1"/>
      <c r="AD905" s="1"/>
      <c r="AE905" s="1"/>
      <c r="AF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AC906" s="1"/>
      <c r="AD906" s="1"/>
      <c r="AE906" s="1"/>
      <c r="AF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AC907" s="1"/>
      <c r="AD907" s="1"/>
      <c r="AE907" s="1"/>
      <c r="AF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AC908" s="1"/>
      <c r="AD908" s="1"/>
      <c r="AE908" s="1"/>
      <c r="AF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AC909" s="1"/>
      <c r="AD909" s="1"/>
      <c r="AE909" s="1"/>
      <c r="AF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AC910" s="1"/>
      <c r="AD910" s="1"/>
      <c r="AE910" s="1"/>
      <c r="AF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AC911" s="1"/>
      <c r="AD911" s="1"/>
      <c r="AE911" s="1"/>
      <c r="AF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AC912" s="1"/>
      <c r="AD912" s="1"/>
      <c r="AE912" s="1"/>
      <c r="AF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AC913" s="1"/>
      <c r="AD913" s="1"/>
      <c r="AE913" s="1"/>
      <c r="AF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AC914" s="1"/>
      <c r="AD914" s="1"/>
      <c r="AE914" s="1"/>
      <c r="AF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AC915" s="1"/>
      <c r="AD915" s="1"/>
      <c r="AE915" s="1"/>
      <c r="AF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AC916" s="1"/>
      <c r="AD916" s="1"/>
      <c r="AE916" s="1"/>
      <c r="AF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AC917" s="1"/>
      <c r="AD917" s="1"/>
      <c r="AE917" s="1"/>
      <c r="AF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AC918" s="1"/>
      <c r="AD918" s="1"/>
      <c r="AE918" s="1"/>
      <c r="AF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AC919" s="1"/>
      <c r="AD919" s="1"/>
      <c r="AE919" s="1"/>
      <c r="AF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AC920" s="1"/>
      <c r="AD920" s="1"/>
      <c r="AE920" s="1"/>
      <c r="AF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AC921" s="1"/>
      <c r="AD921" s="1"/>
      <c r="AE921" s="1"/>
      <c r="AF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AC922" s="1"/>
      <c r="AD922" s="1"/>
      <c r="AE922" s="1"/>
      <c r="AF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AC923" s="1"/>
      <c r="AD923" s="1"/>
      <c r="AE923" s="1"/>
      <c r="AF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AC924" s="1"/>
      <c r="AD924" s="1"/>
      <c r="AE924" s="1"/>
      <c r="AF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AC925" s="1"/>
      <c r="AD925" s="1"/>
      <c r="AE925" s="1"/>
      <c r="AF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AC926" s="1"/>
      <c r="AD926" s="1"/>
      <c r="AE926" s="1"/>
      <c r="AF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AC927" s="1"/>
      <c r="AD927" s="1"/>
      <c r="AE927" s="1"/>
      <c r="AF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AC928" s="1"/>
      <c r="AD928" s="1"/>
      <c r="AE928" s="1"/>
      <c r="AF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AC929" s="1"/>
      <c r="AD929" s="1"/>
      <c r="AE929" s="1"/>
      <c r="AF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AC930" s="1"/>
      <c r="AD930" s="1"/>
      <c r="AE930" s="1"/>
      <c r="AF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AC931" s="1"/>
      <c r="AD931" s="1"/>
      <c r="AE931" s="1"/>
      <c r="AF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AC932" s="1"/>
      <c r="AD932" s="1"/>
      <c r="AE932" s="1"/>
      <c r="AF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AC933" s="1"/>
      <c r="AD933" s="1"/>
      <c r="AE933" s="1"/>
      <c r="AF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AC934" s="1"/>
      <c r="AD934" s="1"/>
      <c r="AE934" s="1"/>
      <c r="AF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AC935" s="1"/>
      <c r="AD935" s="1"/>
      <c r="AE935" s="1"/>
      <c r="AF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AC936" s="1"/>
      <c r="AD936" s="1"/>
      <c r="AE936" s="1"/>
      <c r="AF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AC937" s="1"/>
      <c r="AD937" s="1"/>
      <c r="AE937" s="1"/>
      <c r="AF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AC938" s="1"/>
      <c r="AD938" s="1"/>
      <c r="AE938" s="1"/>
      <c r="AF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AC939" s="1"/>
      <c r="AD939" s="1"/>
      <c r="AE939" s="1"/>
      <c r="AF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AC940" s="1"/>
      <c r="AD940" s="1"/>
      <c r="AE940" s="1"/>
      <c r="AF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AC941" s="1"/>
      <c r="AD941" s="1"/>
      <c r="AE941" s="1"/>
      <c r="AF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AC942" s="1"/>
      <c r="AD942" s="1"/>
      <c r="AE942" s="1"/>
      <c r="AF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AC943" s="1"/>
      <c r="AD943" s="1"/>
      <c r="AE943" s="1"/>
      <c r="AF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AC944" s="1"/>
      <c r="AD944" s="1"/>
      <c r="AE944" s="1"/>
      <c r="AF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AC945" s="1"/>
      <c r="AD945" s="1"/>
      <c r="AE945" s="1"/>
      <c r="AF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AC946" s="1"/>
      <c r="AD946" s="1"/>
      <c r="AE946" s="1"/>
      <c r="AF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AC947" s="1"/>
      <c r="AD947" s="1"/>
      <c r="AE947" s="1"/>
      <c r="AF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AC948" s="1"/>
      <c r="AD948" s="1"/>
      <c r="AE948" s="1"/>
      <c r="AF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AC949" s="1"/>
      <c r="AD949" s="1"/>
      <c r="AE949" s="1"/>
      <c r="AF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AC950" s="1"/>
      <c r="AD950" s="1"/>
      <c r="AE950" s="1"/>
      <c r="AF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AC951" s="1"/>
      <c r="AD951" s="1"/>
      <c r="AE951" s="1"/>
      <c r="AF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AC952" s="1"/>
      <c r="AD952" s="1"/>
      <c r="AE952" s="1"/>
      <c r="AF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AC953" s="1"/>
      <c r="AD953" s="1"/>
      <c r="AE953" s="1"/>
      <c r="AF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AC954" s="1"/>
      <c r="AD954" s="1"/>
      <c r="AE954" s="1"/>
      <c r="AF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AC955" s="1"/>
      <c r="AD955" s="1"/>
      <c r="AE955" s="1"/>
      <c r="AF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AC956" s="1"/>
      <c r="AD956" s="1"/>
      <c r="AE956" s="1"/>
      <c r="AF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AC957" s="1"/>
      <c r="AD957" s="1"/>
      <c r="AE957" s="1"/>
      <c r="AF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AC958" s="1"/>
      <c r="AD958" s="1"/>
      <c r="AE958" s="1"/>
      <c r="AF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AC959" s="1"/>
      <c r="AD959" s="1"/>
      <c r="AE959" s="1"/>
      <c r="AF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AC960" s="1"/>
      <c r="AD960" s="1"/>
      <c r="AE960" s="1"/>
      <c r="AF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AC961" s="1"/>
      <c r="AD961" s="1"/>
      <c r="AE961" s="1"/>
      <c r="AF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AC962" s="1"/>
      <c r="AD962" s="1"/>
      <c r="AE962" s="1"/>
      <c r="AF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AC963" s="1"/>
      <c r="AD963" s="1"/>
      <c r="AE963" s="1"/>
      <c r="AF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AC964" s="1"/>
      <c r="AD964" s="1"/>
      <c r="AE964" s="1"/>
      <c r="AF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AC965" s="1"/>
      <c r="AD965" s="1"/>
      <c r="AE965" s="1"/>
      <c r="AF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AC966" s="1"/>
      <c r="AD966" s="1"/>
      <c r="AE966" s="1"/>
      <c r="AF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AC967" s="1"/>
      <c r="AD967" s="1"/>
      <c r="AE967" s="1"/>
      <c r="AF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AC968" s="1"/>
      <c r="AD968" s="1"/>
      <c r="AE968" s="1"/>
      <c r="AF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AC969" s="1"/>
      <c r="AD969" s="1"/>
      <c r="AE969" s="1"/>
      <c r="AF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AC970" s="1"/>
      <c r="AD970" s="1"/>
      <c r="AE970" s="1"/>
      <c r="AF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AC971" s="1"/>
      <c r="AD971" s="1"/>
      <c r="AE971" s="1"/>
      <c r="AF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AC972" s="1"/>
      <c r="AD972" s="1"/>
      <c r="AE972" s="1"/>
      <c r="AF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AC973" s="1"/>
      <c r="AD973" s="1"/>
      <c r="AE973" s="1"/>
      <c r="AF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AC974" s="1"/>
      <c r="AD974" s="1"/>
      <c r="AE974" s="1"/>
      <c r="AF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AC975" s="1"/>
      <c r="AD975" s="1"/>
      <c r="AE975" s="1"/>
      <c r="AF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AC976" s="1"/>
      <c r="AD976" s="1"/>
      <c r="AE976" s="1"/>
      <c r="AF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AC977" s="1"/>
      <c r="AD977" s="1"/>
      <c r="AE977" s="1"/>
      <c r="AF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AC978" s="1"/>
      <c r="AD978" s="1"/>
      <c r="AE978" s="1"/>
      <c r="AF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AC979" s="1"/>
      <c r="AD979" s="1"/>
      <c r="AE979" s="1"/>
      <c r="AF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AC980" s="1"/>
      <c r="AD980" s="1"/>
      <c r="AE980" s="1"/>
      <c r="AF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AC981" s="1"/>
      <c r="AD981" s="1"/>
      <c r="AE981" s="1"/>
      <c r="AF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AC982" s="1"/>
      <c r="AD982" s="1"/>
      <c r="AE982" s="1"/>
      <c r="AF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AC983" s="1"/>
      <c r="AD983" s="1"/>
      <c r="AE983" s="1"/>
      <c r="AF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AC984" s="1"/>
      <c r="AD984" s="1"/>
      <c r="AE984" s="1"/>
      <c r="AF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AC985" s="1"/>
      <c r="AD985" s="1"/>
      <c r="AE985" s="1"/>
      <c r="AF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AC986" s="1"/>
      <c r="AD986" s="1"/>
      <c r="AE986" s="1"/>
      <c r="AF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AC987" s="1"/>
      <c r="AD987" s="1"/>
      <c r="AE987" s="1"/>
      <c r="AF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AC988" s="1"/>
      <c r="AD988" s="1"/>
      <c r="AE988" s="1"/>
      <c r="AF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AC989" s="1"/>
      <c r="AD989" s="1"/>
      <c r="AE989" s="1"/>
      <c r="AF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AC990" s="1"/>
      <c r="AD990" s="1"/>
      <c r="AE990" s="1"/>
      <c r="AF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AC991" s="1"/>
      <c r="AD991" s="1"/>
      <c r="AE991" s="1"/>
      <c r="AF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AC992" s="1"/>
      <c r="AD992" s="1"/>
      <c r="AE992" s="1"/>
      <c r="AF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AC993" s="1"/>
      <c r="AD993" s="1"/>
      <c r="AE993" s="1"/>
      <c r="AF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AC994" s="1"/>
      <c r="AD994" s="1"/>
      <c r="AE994" s="1"/>
      <c r="AF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AC995" s="1"/>
      <c r="AD995" s="1"/>
      <c r="AE995" s="1"/>
      <c r="AF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AC996" s="1"/>
      <c r="AD996" s="1"/>
      <c r="AE996" s="1"/>
      <c r="AF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AC997" s="1"/>
      <c r="AD997" s="1"/>
      <c r="AE997" s="1"/>
      <c r="AF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AC998" s="1"/>
      <c r="AD998" s="1"/>
      <c r="AE998" s="1"/>
      <c r="AF998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57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19">
        <v>46186.0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3.0</v>
      </c>
      <c r="AE3" s="93" t="str">
        <f>Rules!J3</f>
        <v>Trey</v>
      </c>
    </row>
    <row r="4">
      <c r="A4" s="8"/>
      <c r="B4" s="89" t="s">
        <v>18</v>
      </c>
      <c r="C4" s="37">
        <v>5.0</v>
      </c>
      <c r="D4" s="37">
        <v>4.0</v>
      </c>
      <c r="E4" s="37">
        <v>3.0</v>
      </c>
      <c r="F4" s="37">
        <v>4.0</v>
      </c>
      <c r="G4" s="37">
        <v>4.0</v>
      </c>
      <c r="H4" s="37">
        <v>5.0</v>
      </c>
      <c r="I4" s="37">
        <v>3.0</v>
      </c>
      <c r="J4" s="37">
        <v>4.0</v>
      </c>
      <c r="K4" s="37">
        <v>4.0</v>
      </c>
      <c r="L4" s="94">
        <f t="shared" ref="L4:L5" si="1">SUM(C4:K4)</f>
        <v>36</v>
      </c>
      <c r="M4" s="37">
        <v>5.0</v>
      </c>
      <c r="N4" s="37">
        <v>4.0</v>
      </c>
      <c r="O4" s="37">
        <v>4.0</v>
      </c>
      <c r="P4" s="37">
        <v>3.0</v>
      </c>
      <c r="Q4" s="37">
        <v>4.0</v>
      </c>
      <c r="R4" s="37">
        <v>4.0</v>
      </c>
      <c r="S4" s="37">
        <v>5.0</v>
      </c>
      <c r="T4" s="37">
        <v>3.0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5.0</v>
      </c>
      <c r="D5" s="97">
        <v>4.0</v>
      </c>
      <c r="E5" s="97">
        <v>3.0</v>
      </c>
      <c r="F5" s="97">
        <v>5.0</v>
      </c>
      <c r="G5" s="97">
        <v>4.0</v>
      </c>
      <c r="H5" s="97">
        <v>5.0</v>
      </c>
      <c r="I5" s="97">
        <v>3.0</v>
      </c>
      <c r="J5" s="97">
        <v>4.0</v>
      </c>
      <c r="K5" s="97">
        <v>5.0</v>
      </c>
      <c r="L5" s="98">
        <f t="shared" si="1"/>
        <v>38</v>
      </c>
      <c r="M5" s="97">
        <v>5.0</v>
      </c>
      <c r="N5" s="97">
        <v>5.0</v>
      </c>
      <c r="O5" s="97">
        <v>5.0</v>
      </c>
      <c r="P5" s="97">
        <v>4.0</v>
      </c>
      <c r="Q5" s="97">
        <v>4.0</v>
      </c>
      <c r="R5" s="97">
        <v>4.0</v>
      </c>
      <c r="S5" s="97">
        <v>7.0</v>
      </c>
      <c r="T5" s="97">
        <v>4.0</v>
      </c>
      <c r="U5" s="97">
        <v>5.0</v>
      </c>
      <c r="V5" s="98">
        <f t="shared" si="2"/>
        <v>43</v>
      </c>
      <c r="W5" s="99">
        <f t="shared" si="3"/>
        <v>81</v>
      </c>
      <c r="X5" s="100" t="str">
        <f>IFS(W5&gt;$W$4,"+",$W$4&gt;W5,"")</f>
        <v>+</v>
      </c>
      <c r="Y5" s="100">
        <f>W5-$W$4</f>
        <v>9</v>
      </c>
      <c r="Z5" s="101" t="str">
        <f>X5&amp;Y5</f>
        <v>+9</v>
      </c>
      <c r="AA5" s="1"/>
      <c r="AB5" s="16" t="s">
        <v>41</v>
      </c>
      <c r="AC5" s="44">
        <f>COUNTIF($C$6:$U$6,"🐥")</f>
        <v>0</v>
      </c>
      <c r="AD5" s="17" t="s">
        <v>15</v>
      </c>
      <c r="AE5" s="68">
        <f>COUNTIF($C$8:$U$8,"🐥")</f>
        <v>1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🚩</v>
      </c>
      <c r="E6" s="103" t="str">
        <f t="shared" si="4"/>
        <v>🚩</v>
      </c>
      <c r="F6" s="103" t="str">
        <f t="shared" si="4"/>
        <v>🧻</v>
      </c>
      <c r="G6" s="103" t="str">
        <f t="shared" si="4"/>
        <v>🚩</v>
      </c>
      <c r="H6" s="103" t="str">
        <f t="shared" si="4"/>
        <v>🚩</v>
      </c>
      <c r="I6" s="103" t="str">
        <f t="shared" si="4"/>
        <v>🚩</v>
      </c>
      <c r="J6" s="103" t="str">
        <f t="shared" si="4"/>
        <v>🚩</v>
      </c>
      <c r="K6" s="103" t="str">
        <f t="shared" si="4"/>
        <v>🧻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🧻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🚩</v>
      </c>
      <c r="R6" s="103" t="str">
        <f t="shared" si="5"/>
        <v>🚩</v>
      </c>
      <c r="S6" s="103" t="str">
        <f t="shared" si="5"/>
        <v>💩</v>
      </c>
      <c r="T6" s="103" t="str">
        <f t="shared" si="5"/>
        <v>🧻</v>
      </c>
      <c r="U6" s="103" t="str">
        <f t="shared" si="5"/>
        <v>🧻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10</v>
      </c>
      <c r="AD6" s="17" t="s">
        <v>19</v>
      </c>
      <c r="AE6" s="68">
        <f>COUNTIF($C$8:$U$8,"🚩")</f>
        <v>6</v>
      </c>
    </row>
    <row r="7">
      <c r="A7" s="8"/>
      <c r="B7" s="107" t="str">
        <f>AE3</f>
        <v>Trey</v>
      </c>
      <c r="C7" s="97">
        <v>6.0</v>
      </c>
      <c r="D7" s="97">
        <v>5.0</v>
      </c>
      <c r="E7" s="97">
        <v>3.0</v>
      </c>
      <c r="F7" s="97">
        <v>4.0</v>
      </c>
      <c r="G7" s="97">
        <v>5.0</v>
      </c>
      <c r="H7" s="97">
        <v>6.0</v>
      </c>
      <c r="I7" s="97">
        <v>2.0</v>
      </c>
      <c r="J7" s="97">
        <v>4.0</v>
      </c>
      <c r="K7" s="97">
        <v>4.0</v>
      </c>
      <c r="L7" s="98">
        <f>SUM(C7:K7)</f>
        <v>39</v>
      </c>
      <c r="M7" s="97">
        <v>5.0</v>
      </c>
      <c r="N7" s="97">
        <v>5.0</v>
      </c>
      <c r="O7" s="97">
        <v>7.0</v>
      </c>
      <c r="P7" s="97">
        <v>4.0</v>
      </c>
      <c r="Q7" s="97">
        <v>5.0</v>
      </c>
      <c r="R7" s="97">
        <v>6.0</v>
      </c>
      <c r="S7" s="97">
        <v>7.0</v>
      </c>
      <c r="T7" s="97">
        <v>5.0</v>
      </c>
      <c r="U7" s="97">
        <v>4.0</v>
      </c>
      <c r="V7" s="98">
        <f>SUM(M7:U7)</f>
        <v>48</v>
      </c>
      <c r="W7" s="99">
        <f>SUM(L7+V7)</f>
        <v>87</v>
      </c>
      <c r="X7" s="100" t="str">
        <f>IFS(W7&gt;$W$4,"+",$W$4&gt;W7,"")</f>
        <v>+</v>
      </c>
      <c r="Y7" s="100">
        <f>W7-$W$4</f>
        <v>15</v>
      </c>
      <c r="Z7" s="101" t="str">
        <f>X7&amp;Y7</f>
        <v>+15</v>
      </c>
      <c r="AB7" s="16" t="s">
        <v>43</v>
      </c>
      <c r="AC7" s="44">
        <f>COUNTIF($C$6:$U$6,"🧻")</f>
        <v>7</v>
      </c>
      <c r="AD7" s="17" t="s">
        <v>23</v>
      </c>
      <c r="AE7" s="68">
        <f>COUNTIF($C$8:$U$8,"🧻")</f>
        <v>7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🧻</v>
      </c>
      <c r="E8" s="80" t="str">
        <f t="shared" si="6"/>
        <v>🚩</v>
      </c>
      <c r="F8" s="80" t="str">
        <f t="shared" si="6"/>
        <v>🚩</v>
      </c>
      <c r="G8" s="80" t="str">
        <f t="shared" si="6"/>
        <v>🧻</v>
      </c>
      <c r="H8" s="80" t="str">
        <f t="shared" si="6"/>
        <v>🧻</v>
      </c>
      <c r="I8" s="80" t="str">
        <f t="shared" si="6"/>
        <v>🐥</v>
      </c>
      <c r="J8" s="80" t="str">
        <f t="shared" si="6"/>
        <v>🚩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🧻</v>
      </c>
      <c r="O8" s="80" t="str">
        <f t="shared" si="7"/>
        <v>☠️</v>
      </c>
      <c r="P8" s="80" t="str">
        <f t="shared" si="7"/>
        <v>🧻</v>
      </c>
      <c r="Q8" s="80" t="str">
        <f t="shared" si="7"/>
        <v>🧻</v>
      </c>
      <c r="R8" s="80" t="str">
        <f t="shared" si="7"/>
        <v>💩</v>
      </c>
      <c r="S8" s="80" t="str">
        <f t="shared" si="7"/>
        <v>💩</v>
      </c>
      <c r="T8" s="80" t="str">
        <f t="shared" si="7"/>
        <v>💩</v>
      </c>
      <c r="U8" s="80" t="str">
        <f t="shared" si="7"/>
        <v>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1</v>
      </c>
      <c r="AD8" s="17" t="s">
        <v>27</v>
      </c>
      <c r="AE8" s="68">
        <f>COUNTIF($C$8:$U$8,"💩")</f>
        <v>3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1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8</v>
      </c>
      <c r="AD10" s="113"/>
      <c r="AE10" s="114">
        <f>Count(C23:U23)</f>
        <v>4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8</v>
      </c>
      <c r="AD11" s="80"/>
      <c r="AE11" s="112">
        <f>U25</f>
        <v>5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Trent</v>
      </c>
      <c r="AD12" s="116">
        <f>IFS(AC11&gt;AE11,AC11-AE11,AE11&gt;AC11,AE11-AC11,AC11=AE11,"AS")</f>
        <v>3</v>
      </c>
      <c r="AE12" s="120">
        <f>AD12*AD3</f>
        <v>9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>
        <f t="shared" si="8"/>
        <v>2</v>
      </c>
      <c r="E18" s="1">
        <f t="shared" si="8"/>
        <v>2</v>
      </c>
      <c r="F18" s="1">
        <f t="shared" si="8"/>
        <v>1</v>
      </c>
      <c r="G18" s="1">
        <f t="shared" si="8"/>
        <v>2</v>
      </c>
      <c r="H18" s="1">
        <f t="shared" si="8"/>
        <v>3</v>
      </c>
      <c r="I18" s="1">
        <f t="shared" si="8"/>
        <v>1</v>
      </c>
      <c r="J18" s="1">
        <f t="shared" si="8"/>
        <v>1</v>
      </c>
      <c r="K18" s="1" t="str">
        <f t="shared" si="8"/>
        <v>AS</v>
      </c>
      <c r="L18" s="1" t="str">
        <f t="shared" si="8"/>
        <v>AS</v>
      </c>
      <c r="M18" s="1" t="str">
        <f t="shared" si="8"/>
        <v>AS</v>
      </c>
      <c r="N18" s="1" t="str">
        <f t="shared" si="8"/>
        <v>AS</v>
      </c>
      <c r="O18" s="1">
        <f t="shared" si="8"/>
        <v>1</v>
      </c>
      <c r="P18" s="1">
        <f t="shared" si="8"/>
        <v>1</v>
      </c>
      <c r="Q18" s="1">
        <f t="shared" si="8"/>
        <v>2</v>
      </c>
      <c r="R18" s="1">
        <f t="shared" si="8"/>
        <v>3</v>
      </c>
      <c r="S18" s="1">
        <f t="shared" si="8"/>
        <v>3</v>
      </c>
      <c r="T18" s="1">
        <f t="shared" si="8"/>
        <v>4</v>
      </c>
      <c r="U18" s="1">
        <f t="shared" si="8"/>
        <v>3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>🚩</v>
      </c>
      <c r="D19" s="1" t="str">
        <f t="shared" ref="D19:K19" si="9">IF(D5&lt;D7,D6,)</f>
        <v>🚩</v>
      </c>
      <c r="E19" s="1" t="str">
        <f t="shared" si="9"/>
        <v/>
      </c>
      <c r="F19" s="1" t="str">
        <f t="shared" si="9"/>
        <v/>
      </c>
      <c r="G19" s="1" t="str">
        <f t="shared" si="9"/>
        <v>🚩</v>
      </c>
      <c r="H19" s="1" t="str">
        <f t="shared" si="9"/>
        <v>🚩</v>
      </c>
      <c r="I19" s="1" t="str">
        <f t="shared" si="9"/>
        <v/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>🧻</v>
      </c>
      <c r="P19" s="1" t="str">
        <f t="shared" si="10"/>
        <v/>
      </c>
      <c r="Q19" s="1" t="str">
        <f t="shared" si="10"/>
        <v>🚩</v>
      </c>
      <c r="R19" s="1" t="str">
        <f t="shared" si="10"/>
        <v>🚩</v>
      </c>
      <c r="S19" s="1" t="str">
        <f t="shared" si="10"/>
        <v/>
      </c>
      <c r="T19" s="1" t="str">
        <f t="shared" si="10"/>
        <v>🧻</v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/>
      </c>
      <c r="E20" s="1" t="str">
        <f t="shared" si="11"/>
        <v/>
      </c>
      <c r="F20" s="1" t="str">
        <f t="shared" si="11"/>
        <v>🚩</v>
      </c>
      <c r="G20" s="1" t="str">
        <f t="shared" si="11"/>
        <v/>
      </c>
      <c r="H20" s="1" t="str">
        <f t="shared" si="11"/>
        <v/>
      </c>
      <c r="I20" s="1" t="str">
        <f t="shared" si="11"/>
        <v>🐥</v>
      </c>
      <c r="J20" s="1" t="str">
        <f t="shared" si="11"/>
        <v/>
      </c>
      <c r="K20" s="1" t="str">
        <f t="shared" si="11"/>
        <v>🚩</v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/>
      </c>
      <c r="S20" s="1" t="str">
        <f t="shared" si="12"/>
        <v/>
      </c>
      <c r="T20" s="1" t="str">
        <f t="shared" si="12"/>
        <v/>
      </c>
      <c r="U20" s="1" t="str">
        <f t="shared" si="12"/>
        <v>🚩</v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>
        <f>IFS(C19=$AD$4,Rules!$G$3,C19=$AD$5,Rules!$G$4,C19=$AD$6,Rules!$G$5,C19=$AD$7,Rules!$G$6,C19=$AD$8,Rules!$G$7,C19="",)</f>
        <v>1</v>
      </c>
      <c r="D22" s="1">
        <f>IFS(D19=$AD$4,Rules!$G$3,D19=$AD$5,Rules!$G$4,D19=$AD$6,Rules!$G$5,D19=$AD$7,Rules!$G$6,D19=$AD$8,Rules!$G$7,D19="",)</f>
        <v>1</v>
      </c>
      <c r="E22" s="1" t="str">
        <f>IFS(E19=$AD$4,Rules!$G$3,E19=$AD$5,Rules!$G$4,E19=$AD$6,Rules!$G$5,E19=$AD$7,Rules!$G$6,E19=$AD$8,Rules!$G$7,E19="",)</f>
        <v/>
      </c>
      <c r="F22" s="1" t="str">
        <f>IFS(F19=$AD$4,Rules!$G$3,F19=$AD$5,Rules!$G$4,F19=$AD$6,Rules!$G$5,F19=$AD$7,Rules!$G$6,F19=$AD$8,Rules!$G$7,F19="",)</f>
        <v/>
      </c>
      <c r="G22" s="1">
        <f>IFS(G19=$AD$4,Rules!$G$3,G19=$AD$5,Rules!$G$4,G19=$AD$6,Rules!$G$5,G19=$AD$7,Rules!$G$6,G19=$AD$8,Rules!$G$7,G19="",)</f>
        <v>1</v>
      </c>
      <c r="H22" s="1">
        <f>IFS(H19=$AD$4,Rules!$G$3,H19=$AD$5,Rules!$G$4,H19=$AD$6,Rules!$G$5,H19=$AD$7,Rules!$G$6,H19=$AD$8,Rules!$G$7,H19="",)</f>
        <v>1</v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>
        <f>IFS(O19=$AD$4,Rules!$G$3,O19=$AD$5,Rules!$G$4,O19=$AD$6,Rules!$G$5,O19=$AD$7,Rules!$G$6,O19=$AD$8,Rules!$G$7,O19="",)</f>
        <v>1</v>
      </c>
      <c r="P22" s="1" t="str">
        <f>IFS(P19=$AD$4,Rules!$G$3,P19=$AD$5,Rules!$G$4,P19=$AD$6,Rules!$G$5,P19=$AD$7,Rules!$G$6,P19=$AD$8,Rules!$G$7,P19="",)</f>
        <v/>
      </c>
      <c r="Q22" s="1">
        <f>IFS(Q19=$AD$4,Rules!$G$3,Q19=$AD$5,Rules!$G$4,Q19=$AD$6,Rules!$G$5,Q19=$AD$7,Rules!$G$6,Q19=$AD$8,Rules!$G$7,Q19="",)</f>
        <v>1</v>
      </c>
      <c r="R22" s="1">
        <f>IFS(R19=$AD$4,Rules!$G$3,R19=$AD$5,Rules!$G$4,R19=$AD$6,Rules!$G$5,R19=$AD$7,Rules!$G$6,R19=$AD$8,Rules!$G$7,R19="",)</f>
        <v>1</v>
      </c>
      <c r="S22" s="1" t="str">
        <f>IFS(S19=$AD$4,Rules!$G$3,S19=$AD$5,Rules!$G$4,S19=$AD$6,Rules!$G$5,S19=$AD$7,Rules!$G$6,S19=$AD$8,Rules!$G$7,S19="",)</f>
        <v/>
      </c>
      <c r="T22" s="1">
        <f>IFS(T19=$AD$4,Rules!$G$3,T19=$AD$5,Rules!$G$4,T19=$AD$6,Rules!$G$5,T19=$AD$7,Rules!$G$6,T19=$AD$8,Rules!$G$7,T19="",)</f>
        <v>1</v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>
        <f>IFS(F20=$AD$4,Rules!$G$3,F20=$AD$5,Rules!$G$4,F20=$AD$6,Rules!$G$5,F20=$AD$7,Rules!$G$6,F20=$AD$8,Rules!$G$7,F20="",)</f>
        <v>1</v>
      </c>
      <c r="G23" s="1" t="str">
        <f>IFS(G20=$AD$4,Rules!$G$3,G20=$AD$5,Rules!$G$4,G20=$AD$6,Rules!$G$5,G20=$AD$7,Rules!$G$6,G20=$AD$8,Rules!$G$7,G20="",)</f>
        <v/>
      </c>
      <c r="H23" s="1" t="str">
        <f>IFS(H20=$AD$4,Rules!$G$3,H20=$AD$5,Rules!$G$4,H20=$AD$6,Rules!$G$5,H20=$AD$7,Rules!$G$6,H20=$AD$8,Rules!$G$7,H20="",)</f>
        <v/>
      </c>
      <c r="I23" s="1">
        <f>IFS(I20=$AD$4,Rules!$G$3,I20=$AD$5,Rules!$G$4,I20=$AD$6,Rules!$G$5,I20=$AD$7,Rules!$G$6,I20=$AD$8,Rules!$G$7,I20="",)</f>
        <v>2</v>
      </c>
      <c r="J23" s="1" t="str">
        <f>IFS(J20=$AD$4,Rules!$G$3,J20=$AD$5,Rules!$G$4,J20=$AD$6,Rules!$G$5,J20=$AD$7,Rules!$G$6,J20=$AD$8,Rules!$G$7,J20="",)</f>
        <v/>
      </c>
      <c r="K23" s="1">
        <f>IFS(K20=$AD$4,Rules!$G$3,K20=$AD$5,Rules!$G$4,K20=$AD$6,Rules!$G$5,K20=$AD$7,Rules!$G$6,K20=$AD$8,Rules!$G$7,K20="",)</f>
        <v>1</v>
      </c>
      <c r="L23" s="1"/>
      <c r="M23" s="1" t="str">
        <f>IFS(M20=$AD$4,Rules!$G$3,M20=$AD$5,Rules!$G$4,M20=$AD$6,Rules!$G$5,M20=$AD$7,Rules!$G$6,M20=$AD$8,Rules!$G$7,M20="",)</f>
        <v/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 t="str">
        <f>IFS(S20=$AD$4,Rules!$G$3,S20=$AD$5,Rules!$G$4,S20=$AD$6,Rules!$G$5,S20=$AD$7,Rules!$G$6,S20=$AD$8,Rules!$G$7,S20="",)</f>
        <v/>
      </c>
      <c r="T23" s="1" t="str">
        <f>IFS(T20=$AD$4,Rules!$G$3,T20=$AD$5,Rules!$G$4,T20=$AD$6,Rules!$G$5,T20=$AD$7,Rules!$G$6,T20=$AD$8,Rules!$G$7,T20="",)</f>
        <v/>
      </c>
      <c r="U23" s="1">
        <f>IFS(U20=$AD$4,Rules!$G$3,U20=$AD$5,Rules!$G$4,U20=$AD$6,Rules!$G$5,U20=$AD$7,Rules!$G$6,U20=$AD$8,Rules!$G$7,U20="",)</f>
        <v>1</v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>
        <f t="shared" ref="C24:C25" si="14">C22</f>
        <v>1</v>
      </c>
      <c r="D24" s="1">
        <f t="shared" ref="D24:U24" si="13">D22+C24</f>
        <v>2</v>
      </c>
      <c r="E24" s="1">
        <f t="shared" si="13"/>
        <v>2</v>
      </c>
      <c r="F24" s="1">
        <f t="shared" si="13"/>
        <v>2</v>
      </c>
      <c r="G24" s="1">
        <f t="shared" si="13"/>
        <v>3</v>
      </c>
      <c r="H24" s="1">
        <f t="shared" si="13"/>
        <v>4</v>
      </c>
      <c r="I24" s="1">
        <f t="shared" si="13"/>
        <v>4</v>
      </c>
      <c r="J24" s="1">
        <f t="shared" si="13"/>
        <v>4</v>
      </c>
      <c r="K24" s="1">
        <f t="shared" si="13"/>
        <v>4</v>
      </c>
      <c r="L24" s="1">
        <f t="shared" si="13"/>
        <v>4</v>
      </c>
      <c r="M24" s="1">
        <f t="shared" si="13"/>
        <v>4</v>
      </c>
      <c r="N24" s="1">
        <f t="shared" si="13"/>
        <v>4</v>
      </c>
      <c r="O24" s="1">
        <f t="shared" si="13"/>
        <v>5</v>
      </c>
      <c r="P24" s="1">
        <f t="shared" si="13"/>
        <v>5</v>
      </c>
      <c r="Q24" s="1">
        <f t="shared" si="13"/>
        <v>6</v>
      </c>
      <c r="R24" s="1">
        <f t="shared" si="13"/>
        <v>7</v>
      </c>
      <c r="S24" s="1">
        <f t="shared" si="13"/>
        <v>7</v>
      </c>
      <c r="T24" s="1">
        <f t="shared" si="13"/>
        <v>8</v>
      </c>
      <c r="U24" s="1">
        <f t="shared" si="13"/>
        <v>8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0</v>
      </c>
      <c r="E25" s="1">
        <f t="shared" si="15"/>
        <v>0</v>
      </c>
      <c r="F25" s="1">
        <f t="shared" si="15"/>
        <v>1</v>
      </c>
      <c r="G25" s="1">
        <f t="shared" si="15"/>
        <v>1</v>
      </c>
      <c r="H25" s="1">
        <f t="shared" si="15"/>
        <v>1</v>
      </c>
      <c r="I25" s="1">
        <f t="shared" si="15"/>
        <v>3</v>
      </c>
      <c r="J25" s="1">
        <f t="shared" si="15"/>
        <v>3</v>
      </c>
      <c r="K25" s="1">
        <f t="shared" si="15"/>
        <v>4</v>
      </c>
      <c r="L25" s="1">
        <f t="shared" si="15"/>
        <v>4</v>
      </c>
      <c r="M25" s="1">
        <f t="shared" si="15"/>
        <v>4</v>
      </c>
      <c r="N25" s="1">
        <f t="shared" si="15"/>
        <v>4</v>
      </c>
      <c r="O25" s="1">
        <f t="shared" si="15"/>
        <v>4</v>
      </c>
      <c r="P25" s="1">
        <f t="shared" si="15"/>
        <v>4</v>
      </c>
      <c r="Q25" s="1">
        <f t="shared" si="15"/>
        <v>4</v>
      </c>
      <c r="R25" s="1">
        <f t="shared" si="15"/>
        <v>4</v>
      </c>
      <c r="S25" s="1">
        <f t="shared" si="15"/>
        <v>4</v>
      </c>
      <c r="T25" s="1">
        <f t="shared" si="15"/>
        <v>4</v>
      </c>
      <c r="U25" s="1">
        <f t="shared" si="15"/>
        <v>5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59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1">
        <v>46173.0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3.0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5.0</v>
      </c>
      <c r="E4" s="37">
        <v>3.0</v>
      </c>
      <c r="F4" s="37">
        <v>4.0</v>
      </c>
      <c r="G4" s="37">
        <v>4.0</v>
      </c>
      <c r="H4" s="37">
        <v>3.0</v>
      </c>
      <c r="I4" s="37">
        <v>4.0</v>
      </c>
      <c r="J4" s="37">
        <v>5.0</v>
      </c>
      <c r="K4" s="37">
        <v>4.0</v>
      </c>
      <c r="L4" s="94">
        <f t="shared" ref="L4:L5" si="1">SUM(C4:K4)</f>
        <v>36</v>
      </c>
      <c r="M4" s="37">
        <v>4.0</v>
      </c>
      <c r="N4" s="37">
        <v>4.0</v>
      </c>
      <c r="O4" s="37">
        <v>5.0</v>
      </c>
      <c r="P4" s="37">
        <v>3.0</v>
      </c>
      <c r="Q4" s="37">
        <v>4.0</v>
      </c>
      <c r="R4" s="37">
        <v>3.0</v>
      </c>
      <c r="S4" s="37">
        <v>5.0</v>
      </c>
      <c r="T4" s="37">
        <v>4.0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4.0</v>
      </c>
      <c r="D5" s="97">
        <v>6.0</v>
      </c>
      <c r="E5" s="97">
        <v>4.0</v>
      </c>
      <c r="F5" s="97">
        <v>4.0</v>
      </c>
      <c r="G5" s="97">
        <v>4.0</v>
      </c>
      <c r="H5" s="97">
        <v>3.0</v>
      </c>
      <c r="I5" s="97">
        <v>5.0</v>
      </c>
      <c r="J5" s="97">
        <v>5.0</v>
      </c>
      <c r="K5" s="97">
        <v>5.0</v>
      </c>
      <c r="L5" s="98">
        <f t="shared" si="1"/>
        <v>40</v>
      </c>
      <c r="M5" s="97">
        <v>6.0</v>
      </c>
      <c r="N5" s="97">
        <v>5.0</v>
      </c>
      <c r="O5" s="97">
        <v>6.0</v>
      </c>
      <c r="P5" s="97">
        <v>3.0</v>
      </c>
      <c r="Q5" s="97">
        <v>5.0</v>
      </c>
      <c r="R5" s="97">
        <v>3.0</v>
      </c>
      <c r="S5" s="97">
        <v>4.0</v>
      </c>
      <c r="T5" s="97">
        <v>5.0</v>
      </c>
      <c r="U5" s="97">
        <v>7.0</v>
      </c>
      <c r="V5" s="98">
        <f t="shared" si="2"/>
        <v>44</v>
      </c>
      <c r="W5" s="99">
        <f t="shared" si="3"/>
        <v>84</v>
      </c>
      <c r="X5" s="100" t="str">
        <f>IFS(W5&gt;$W$4,"+",$W$4&gt;W5,"")</f>
        <v>+</v>
      </c>
      <c r="Y5" s="100">
        <f>W5-$W$4</f>
        <v>12</v>
      </c>
      <c r="Z5" s="101" t="str">
        <f>X5&amp;Y5</f>
        <v>+12</v>
      </c>
      <c r="AA5" s="1"/>
      <c r="AB5" s="16" t="s">
        <v>41</v>
      </c>
      <c r="AC5" s="44">
        <f>COUNTIF($C$6:$U$6,"🐥")</f>
        <v>1</v>
      </c>
      <c r="AD5" s="17" t="s">
        <v>15</v>
      </c>
      <c r="AE5" s="68">
        <f>COUNTIF($C$8:$U$8,"🐥")</f>
        <v>1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🧻</v>
      </c>
      <c r="E6" s="103" t="str">
        <f t="shared" si="4"/>
        <v>🧻</v>
      </c>
      <c r="F6" s="103" t="str">
        <f t="shared" si="4"/>
        <v>🚩</v>
      </c>
      <c r="G6" s="103" t="str">
        <f t="shared" si="4"/>
        <v>🚩</v>
      </c>
      <c r="H6" s="103" t="str">
        <f t="shared" si="4"/>
        <v>🚩</v>
      </c>
      <c r="I6" s="103" t="str">
        <f t="shared" si="4"/>
        <v>🧻</v>
      </c>
      <c r="J6" s="103" t="str">
        <f t="shared" si="4"/>
        <v>🚩</v>
      </c>
      <c r="K6" s="103" t="str">
        <f t="shared" si="4"/>
        <v>🧻</v>
      </c>
      <c r="L6" s="104"/>
      <c r="M6" s="103" t="str">
        <f t="shared" ref="M6:U6" si="5">IFS(M$4-M5=1,$AD$5,M$4-M5=2,$AD$4,M$4=M5,$AD$6,M$4-M5=-1,$AD$7,M$4-M5=-2,$AD$8,M$4-M5=-3,$AD$9)</f>
        <v>💩</v>
      </c>
      <c r="N6" s="103" t="str">
        <f t="shared" si="5"/>
        <v>🧻</v>
      </c>
      <c r="O6" s="103" t="str">
        <f t="shared" si="5"/>
        <v>🧻</v>
      </c>
      <c r="P6" s="103" t="str">
        <f t="shared" si="5"/>
        <v>🚩</v>
      </c>
      <c r="Q6" s="103" t="str">
        <f t="shared" si="5"/>
        <v>🧻</v>
      </c>
      <c r="R6" s="103" t="str">
        <f t="shared" si="5"/>
        <v>🚩</v>
      </c>
      <c r="S6" s="103" t="str">
        <f t="shared" si="5"/>
        <v>🐥</v>
      </c>
      <c r="T6" s="103" t="str">
        <f t="shared" si="5"/>
        <v>🧻</v>
      </c>
      <c r="U6" s="103" t="str">
        <f t="shared" si="5"/>
        <v>☠️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7</v>
      </c>
      <c r="AD6" s="17" t="s">
        <v>19</v>
      </c>
      <c r="AE6" s="68">
        <f>COUNTIF($C$8:$U$8,"🚩")</f>
        <v>12</v>
      </c>
    </row>
    <row r="7">
      <c r="A7" s="8"/>
      <c r="B7" s="107" t="str">
        <f>AE3</f>
        <v>Trey</v>
      </c>
      <c r="C7" s="97">
        <v>4.0</v>
      </c>
      <c r="D7" s="97">
        <v>5.0</v>
      </c>
      <c r="E7" s="97">
        <v>4.0</v>
      </c>
      <c r="F7" s="97">
        <v>6.0</v>
      </c>
      <c r="G7" s="97">
        <v>3.0</v>
      </c>
      <c r="H7" s="97">
        <v>3.0</v>
      </c>
      <c r="I7" s="97">
        <v>4.0</v>
      </c>
      <c r="J7" s="97">
        <v>5.0</v>
      </c>
      <c r="K7" s="97">
        <v>4.0</v>
      </c>
      <c r="L7" s="98">
        <f>SUM(C7:K7)</f>
        <v>38</v>
      </c>
      <c r="M7" s="97">
        <v>4.0</v>
      </c>
      <c r="N7" s="97">
        <v>4.0</v>
      </c>
      <c r="O7" s="97">
        <v>6.0</v>
      </c>
      <c r="P7" s="97">
        <v>3.0</v>
      </c>
      <c r="Q7" s="97">
        <v>4.0</v>
      </c>
      <c r="R7" s="97">
        <v>4.0</v>
      </c>
      <c r="S7" s="97">
        <v>5.0</v>
      </c>
      <c r="T7" s="97">
        <v>5.0</v>
      </c>
      <c r="U7" s="97">
        <v>4.0</v>
      </c>
      <c r="V7" s="98">
        <f>SUM(M7:U7)</f>
        <v>39</v>
      </c>
      <c r="W7" s="99">
        <f>SUM(L7+V7)</f>
        <v>77</v>
      </c>
      <c r="X7" s="100" t="str">
        <f>IFS(W7&gt;$W$4,"+",$W$4&gt;W7,"")</f>
        <v>+</v>
      </c>
      <c r="Y7" s="100">
        <f>W7-$W$4</f>
        <v>5</v>
      </c>
      <c r="Z7" s="101" t="str">
        <f>X7&amp;Y7</f>
        <v>+5</v>
      </c>
      <c r="AB7" s="16" t="s">
        <v>43</v>
      </c>
      <c r="AC7" s="44">
        <f>COUNTIF($C$6:$U$6,"🧻")</f>
        <v>8</v>
      </c>
      <c r="AD7" s="17" t="s">
        <v>23</v>
      </c>
      <c r="AE7" s="68">
        <f>COUNTIF($C$8:$U$8,"🧻")</f>
        <v>4</v>
      </c>
    </row>
    <row r="8">
      <c r="A8" s="8"/>
      <c r="B8" s="108"/>
      <c r="C8" s="80" t="str">
        <f t="shared" ref="C8:K8" si="6">IFS(C$4-C7=1,$AD$5,C$4-C7=2,$AD$4,C$4=C7,$AD$6,C$4-C7=-1,$AD$7,C$4-C7=-2,$AD$8,C$4-C7=-3,$AD$9)</f>
        <v>🚩</v>
      </c>
      <c r="D8" s="80" t="str">
        <f t="shared" si="6"/>
        <v>🚩</v>
      </c>
      <c r="E8" s="80" t="str">
        <f t="shared" si="6"/>
        <v>🧻</v>
      </c>
      <c r="F8" s="80" t="str">
        <f t="shared" si="6"/>
        <v>💩</v>
      </c>
      <c r="G8" s="80" t="str">
        <f t="shared" si="6"/>
        <v>🐥</v>
      </c>
      <c r="H8" s="80" t="str">
        <f t="shared" si="6"/>
        <v>🚩</v>
      </c>
      <c r="I8" s="80" t="str">
        <f t="shared" si="6"/>
        <v>🚩</v>
      </c>
      <c r="J8" s="80" t="str">
        <f t="shared" si="6"/>
        <v>🚩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🚩</v>
      </c>
      <c r="O8" s="80" t="str">
        <f t="shared" si="7"/>
        <v>🧻</v>
      </c>
      <c r="P8" s="80" t="str">
        <f t="shared" si="7"/>
        <v>🚩</v>
      </c>
      <c r="Q8" s="80" t="str">
        <f t="shared" si="7"/>
        <v>🚩</v>
      </c>
      <c r="R8" s="80" t="str">
        <f t="shared" si="7"/>
        <v>🧻</v>
      </c>
      <c r="S8" s="80" t="str">
        <f t="shared" si="7"/>
        <v>🚩</v>
      </c>
      <c r="T8" s="80" t="str">
        <f t="shared" si="7"/>
        <v>🧻</v>
      </c>
      <c r="U8" s="80" t="str">
        <f t="shared" si="7"/>
        <v>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1</v>
      </c>
      <c r="AD8" s="17" t="s">
        <v>27</v>
      </c>
      <c r="AE8" s="68">
        <f>COUNTIF($C$8:$U$8,"💩")</f>
        <v>1</v>
      </c>
    </row>
    <row r="9">
      <c r="V9" s="1"/>
      <c r="W9" s="1"/>
      <c r="AB9" s="19" t="s">
        <v>45</v>
      </c>
      <c r="AC9" s="80">
        <f>COUNTIF($C$6:$U$6,"☠️")</f>
        <v>1</v>
      </c>
      <c r="AD9" s="20" t="s">
        <v>70</v>
      </c>
      <c r="AE9" s="112">
        <f>COUNTIF($C$8:$U$8,"☠️")</f>
        <v>0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3</v>
      </c>
      <c r="AD10" s="113"/>
      <c r="AE10" s="114">
        <f>Count(C23:U23)</f>
        <v>8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4</v>
      </c>
      <c r="AD11" s="80"/>
      <c r="AE11" s="112">
        <f>U25</f>
        <v>9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5</v>
      </c>
      <c r="AE12" s="120">
        <f>AD12*AD3</f>
        <v>15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>
        <f t="shared" si="8"/>
        <v>1</v>
      </c>
      <c r="E18" s="1">
        <f t="shared" si="8"/>
        <v>1</v>
      </c>
      <c r="F18" s="1" t="str">
        <f t="shared" si="8"/>
        <v>AS</v>
      </c>
      <c r="G18" s="1">
        <f t="shared" si="8"/>
        <v>2</v>
      </c>
      <c r="H18" s="1">
        <f t="shared" si="8"/>
        <v>2</v>
      </c>
      <c r="I18" s="1">
        <f t="shared" si="8"/>
        <v>3</v>
      </c>
      <c r="J18" s="1">
        <f t="shared" si="8"/>
        <v>3</v>
      </c>
      <c r="K18" s="1">
        <f t="shared" si="8"/>
        <v>4</v>
      </c>
      <c r="L18" s="1">
        <f t="shared" si="8"/>
        <v>4</v>
      </c>
      <c r="M18" s="1">
        <f t="shared" si="8"/>
        <v>5</v>
      </c>
      <c r="N18" s="1">
        <f t="shared" si="8"/>
        <v>6</v>
      </c>
      <c r="O18" s="1">
        <f t="shared" si="8"/>
        <v>6</v>
      </c>
      <c r="P18" s="1">
        <f t="shared" si="8"/>
        <v>6</v>
      </c>
      <c r="Q18" s="1">
        <f t="shared" si="8"/>
        <v>7</v>
      </c>
      <c r="R18" s="1">
        <f t="shared" si="8"/>
        <v>6</v>
      </c>
      <c r="S18" s="1">
        <f t="shared" si="8"/>
        <v>4</v>
      </c>
      <c r="T18" s="1">
        <f t="shared" si="8"/>
        <v>4</v>
      </c>
      <c r="U18" s="1">
        <f t="shared" si="8"/>
        <v>5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/>
      </c>
      <c r="F19" s="1" t="str">
        <f t="shared" si="9"/>
        <v>🚩</v>
      </c>
      <c r="G19" s="1" t="str">
        <f t="shared" si="9"/>
        <v/>
      </c>
      <c r="H19" s="1" t="str">
        <f t="shared" si="9"/>
        <v/>
      </c>
      <c r="I19" s="1" t="str">
        <f t="shared" si="9"/>
        <v/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/>
      </c>
      <c r="P19" s="1" t="str">
        <f t="shared" si="10"/>
        <v/>
      </c>
      <c r="Q19" s="1" t="str">
        <f t="shared" si="10"/>
        <v/>
      </c>
      <c r="R19" s="1" t="str">
        <f t="shared" si="10"/>
        <v>🚩</v>
      </c>
      <c r="S19" s="1" t="str">
        <f t="shared" si="10"/>
        <v>🐥</v>
      </c>
      <c r="T19" s="1" t="str">
        <f t="shared" si="10"/>
        <v/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>🚩</v>
      </c>
      <c r="E20" s="1" t="str">
        <f t="shared" si="11"/>
        <v/>
      </c>
      <c r="F20" s="1" t="str">
        <f t="shared" si="11"/>
        <v/>
      </c>
      <c r="G20" s="1" t="str">
        <f t="shared" si="11"/>
        <v>🐥</v>
      </c>
      <c r="H20" s="1" t="str">
        <f t="shared" si="11"/>
        <v/>
      </c>
      <c r="I20" s="1" t="str">
        <f t="shared" si="11"/>
        <v>🚩</v>
      </c>
      <c r="J20" s="1" t="str">
        <f t="shared" si="11"/>
        <v/>
      </c>
      <c r="K20" s="1" t="str">
        <f t="shared" si="11"/>
        <v>🚩</v>
      </c>
      <c r="L20" s="1"/>
      <c r="M20" s="1" t="str">
        <f t="shared" ref="M20:U20" si="12">IF(M$5&gt;M$7,M8,)</f>
        <v>🚩</v>
      </c>
      <c r="N20" s="1" t="str">
        <f t="shared" si="12"/>
        <v>🚩</v>
      </c>
      <c r="O20" s="1" t="str">
        <f t="shared" si="12"/>
        <v/>
      </c>
      <c r="P20" s="1" t="str">
        <f t="shared" si="12"/>
        <v/>
      </c>
      <c r="Q20" s="1" t="str">
        <f t="shared" si="12"/>
        <v>🚩</v>
      </c>
      <c r="R20" s="1" t="str">
        <f t="shared" si="12"/>
        <v/>
      </c>
      <c r="S20" s="1" t="str">
        <f t="shared" si="12"/>
        <v/>
      </c>
      <c r="T20" s="1" t="str">
        <f t="shared" si="12"/>
        <v/>
      </c>
      <c r="U20" s="1" t="str">
        <f t="shared" si="12"/>
        <v>🚩</v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 t="str">
        <f>IFS(E19=$AD$4,Rules!$G$3,E19=$AD$5,Rules!$G$4,E19=$AD$6,Rules!$G$5,E19=$AD$7,Rules!$G$6,E19=$AD$8,Rules!$G$7,E19="",)</f>
        <v/>
      </c>
      <c r="F22" s="1">
        <f>IFS(F19=$AD$4,Rules!$G$3,F19=$AD$5,Rules!$G$4,F19=$AD$6,Rules!$G$5,F19=$AD$7,Rules!$G$6,F19=$AD$8,Rules!$G$7,F19="",)</f>
        <v>1</v>
      </c>
      <c r="G22" s="1" t="str">
        <f>IFS(G19=$AD$4,Rules!$G$3,G19=$AD$5,Rules!$G$4,G19=$AD$6,Rules!$G$5,G19=$AD$7,Rules!$G$6,G19=$AD$8,Rules!$G$7,G19="",)</f>
        <v/>
      </c>
      <c r="H22" s="1" t="str">
        <f>IFS(H19=$AD$4,Rules!$G$3,H19=$AD$5,Rules!$G$4,H19=$AD$6,Rules!$G$5,H19=$AD$7,Rules!$G$6,H19=$AD$8,Rules!$G$7,H19="",)</f>
        <v/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 t="str">
        <f>IFS(O19=$AD$4,Rules!$G$3,O19=$AD$5,Rules!$G$4,O19=$AD$6,Rules!$G$5,O19=$AD$7,Rules!$G$6,O19=$AD$8,Rules!$G$7,O19="",)</f>
        <v/>
      </c>
      <c r="P22" s="1" t="str">
        <f>IFS(P19=$AD$4,Rules!$G$3,P19=$AD$5,Rules!$G$4,P19=$AD$6,Rules!$G$5,P19=$AD$7,Rules!$G$6,P19=$AD$8,Rules!$G$7,P19="",)</f>
        <v/>
      </c>
      <c r="Q22" s="1" t="str">
        <f>IFS(Q19=$AD$4,Rules!$G$3,Q19=$AD$5,Rules!$G$4,Q19=$AD$6,Rules!$G$5,Q19=$AD$7,Rules!$G$6,Q19=$AD$8,Rules!$G$7,Q19="",)</f>
        <v/>
      </c>
      <c r="R22" s="1">
        <f>IFS(R19=$AD$4,Rules!$G$3,R19=$AD$5,Rules!$G$4,R19=$AD$6,Rules!$G$5,R19=$AD$7,Rules!$G$6,R19=$AD$8,Rules!$G$7,R19="",)</f>
        <v>1</v>
      </c>
      <c r="S22" s="1">
        <f>IFS(S19=$AD$4,Rules!$G$3,S19=$AD$5,Rules!$G$4,S19=$AD$6,Rules!$G$5,S19=$AD$7,Rules!$G$6,S19=$AD$8,Rules!$G$7,S19="",)</f>
        <v>2</v>
      </c>
      <c r="T22" s="1" t="str">
        <f>IFS(T19=$AD$4,Rules!$G$3,T19=$AD$5,Rules!$G$4,T19=$AD$6,Rules!$G$5,T19=$AD$7,Rules!$G$6,T19=$AD$8,Rules!$G$7,T19="",)</f>
        <v/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>
        <f>IFS(D20=$AD$4,Rules!$G$3,D20=$AD$5,Rules!$G$4,D20=$AD$6,Rules!$G$5,D20=$AD$7,Rules!$G$6,D20=$AD$8,Rules!$G$7,D20="",)</f>
        <v>1</v>
      </c>
      <c r="E23" s="1" t="str">
        <f>IFS(E20=$AD$4,Rules!$G$3,E20=$AD$5,Rules!$G$4,E20=$AD$6,Rules!$G$5,E20=$AD$7,Rules!$G$6,E20=$AD$8,Rules!$G$7,E20="",)</f>
        <v/>
      </c>
      <c r="F23" s="1" t="str">
        <f>IFS(F20=$AD$4,Rules!$G$3,F20=$AD$5,Rules!$G$4,F20=$AD$6,Rules!$G$5,F20=$AD$7,Rules!$G$6,F20=$AD$8,Rules!$G$7,F20="",)</f>
        <v/>
      </c>
      <c r="G23" s="1">
        <f>IFS(G20=$AD$4,Rules!$G$3,G20=$AD$5,Rules!$G$4,G20=$AD$6,Rules!$G$5,G20=$AD$7,Rules!$G$6,G20=$AD$8,Rules!$G$7,G20="",)</f>
        <v>2</v>
      </c>
      <c r="H23" s="1" t="str">
        <f>IFS(H20=$AD$4,Rules!$G$3,H20=$AD$5,Rules!$G$4,H20=$AD$6,Rules!$G$5,H20=$AD$7,Rules!$G$6,H20=$AD$8,Rules!$G$7,H20="",)</f>
        <v/>
      </c>
      <c r="I23" s="1">
        <f>IFS(I20=$AD$4,Rules!$G$3,I20=$AD$5,Rules!$G$4,I20=$AD$6,Rules!$G$5,I20=$AD$7,Rules!$G$6,I20=$AD$8,Rules!$G$7,I20="",)</f>
        <v>1</v>
      </c>
      <c r="J23" s="1" t="str">
        <f>IFS(J20=$AD$4,Rules!$G$3,J20=$AD$5,Rules!$G$4,J20=$AD$6,Rules!$G$5,J20=$AD$7,Rules!$G$6,J20=$AD$8,Rules!$G$7,J20="",)</f>
        <v/>
      </c>
      <c r="K23" s="1">
        <f>IFS(K20=$AD$4,Rules!$G$3,K20=$AD$5,Rules!$G$4,K20=$AD$6,Rules!$G$5,K20=$AD$7,Rules!$G$6,K20=$AD$8,Rules!$G$7,K20="",)</f>
        <v>1</v>
      </c>
      <c r="L23" s="1"/>
      <c r="M23" s="1">
        <f>IFS(M20=$AD$4,Rules!$G$3,M20=$AD$5,Rules!$G$4,M20=$AD$6,Rules!$G$5,M20=$AD$7,Rules!$G$6,M20=$AD$8,Rules!$G$7,M20="",)</f>
        <v>1</v>
      </c>
      <c r="N23" s="1">
        <f>IFS(N20=$AD$4,Rules!$G$3,N20=$AD$5,Rules!$G$4,N20=$AD$6,Rules!$G$5,N20=$AD$7,Rules!$G$6,N20=$AD$8,Rules!$G$7,N20="",)</f>
        <v>1</v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>
        <f>IFS(Q20=$AD$4,Rules!$G$3,Q20=$AD$5,Rules!$G$4,Q20=$AD$6,Rules!$G$5,Q20=$AD$7,Rules!$G$6,Q20=$AD$8,Rules!$G$7,Q20="",)</f>
        <v>1</v>
      </c>
      <c r="R23" s="1" t="str">
        <f>IFS(R20=$AD$4,Rules!$G$3,R20=$AD$5,Rules!$G$4,R20=$AD$6,Rules!$G$5,R20=$AD$7,Rules!$G$6,R20=$AD$8,Rules!$G$7,R20="",)</f>
        <v/>
      </c>
      <c r="S23" s="1" t="str">
        <f>IFS(S20=$AD$4,Rules!$G$3,S20=$AD$5,Rules!$G$4,S20=$AD$6,Rules!$G$5,S20=$AD$7,Rules!$G$6,S20=$AD$8,Rules!$G$7,S20="",)</f>
        <v/>
      </c>
      <c r="T23" s="1" t="str">
        <f>IFS(T20=$AD$4,Rules!$G$3,T20=$AD$5,Rules!$G$4,T20=$AD$6,Rules!$G$5,T20=$AD$7,Rules!$G$6,T20=$AD$8,Rules!$G$7,T20="",)</f>
        <v/>
      </c>
      <c r="U23" s="1">
        <f>IFS(U20=$AD$4,Rules!$G$3,U20=$AD$5,Rules!$G$4,U20=$AD$6,Rules!$G$5,U20=$AD$7,Rules!$G$6,U20=$AD$8,Rules!$G$7,U20="",)</f>
        <v>1</v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0</v>
      </c>
      <c r="F24" s="1">
        <f t="shared" si="13"/>
        <v>1</v>
      </c>
      <c r="G24" s="1">
        <f t="shared" si="13"/>
        <v>1</v>
      </c>
      <c r="H24" s="1">
        <f t="shared" si="13"/>
        <v>1</v>
      </c>
      <c r="I24" s="1">
        <f t="shared" si="13"/>
        <v>1</v>
      </c>
      <c r="J24" s="1">
        <f t="shared" si="13"/>
        <v>1</v>
      </c>
      <c r="K24" s="1">
        <f t="shared" si="13"/>
        <v>1</v>
      </c>
      <c r="L24" s="1">
        <f t="shared" si="13"/>
        <v>1</v>
      </c>
      <c r="M24" s="1">
        <f t="shared" si="13"/>
        <v>1</v>
      </c>
      <c r="N24" s="1">
        <f t="shared" si="13"/>
        <v>1</v>
      </c>
      <c r="O24" s="1">
        <f t="shared" si="13"/>
        <v>1</v>
      </c>
      <c r="P24" s="1">
        <f t="shared" si="13"/>
        <v>1</v>
      </c>
      <c r="Q24" s="1">
        <f t="shared" si="13"/>
        <v>1</v>
      </c>
      <c r="R24" s="1">
        <f t="shared" si="13"/>
        <v>2</v>
      </c>
      <c r="S24" s="1">
        <f t="shared" si="13"/>
        <v>4</v>
      </c>
      <c r="T24" s="1">
        <f t="shared" si="13"/>
        <v>4</v>
      </c>
      <c r="U24" s="1">
        <f t="shared" si="13"/>
        <v>4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1</v>
      </c>
      <c r="E25" s="1">
        <f t="shared" si="15"/>
        <v>1</v>
      </c>
      <c r="F25" s="1">
        <f t="shared" si="15"/>
        <v>1</v>
      </c>
      <c r="G25" s="1">
        <f t="shared" si="15"/>
        <v>3</v>
      </c>
      <c r="H25" s="1">
        <f t="shared" si="15"/>
        <v>3</v>
      </c>
      <c r="I25" s="1">
        <f t="shared" si="15"/>
        <v>4</v>
      </c>
      <c r="J25" s="1">
        <f t="shared" si="15"/>
        <v>4</v>
      </c>
      <c r="K25" s="1">
        <f t="shared" si="15"/>
        <v>5</v>
      </c>
      <c r="L25" s="1">
        <f t="shared" si="15"/>
        <v>5</v>
      </c>
      <c r="M25" s="1">
        <f t="shared" si="15"/>
        <v>6</v>
      </c>
      <c r="N25" s="1">
        <f t="shared" si="15"/>
        <v>7</v>
      </c>
      <c r="O25" s="1">
        <f t="shared" si="15"/>
        <v>7</v>
      </c>
      <c r="P25" s="1">
        <f t="shared" si="15"/>
        <v>7</v>
      </c>
      <c r="Q25" s="1">
        <f t="shared" si="15"/>
        <v>8</v>
      </c>
      <c r="R25" s="1">
        <f t="shared" si="15"/>
        <v>8</v>
      </c>
      <c r="S25" s="1">
        <f t="shared" si="15"/>
        <v>8</v>
      </c>
      <c r="T25" s="1">
        <f t="shared" si="15"/>
        <v>8</v>
      </c>
      <c r="U25" s="1">
        <f t="shared" si="15"/>
        <v>9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58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1">
        <v>46165.0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5.0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3.0</v>
      </c>
      <c r="E4" s="37">
        <v>4.0</v>
      </c>
      <c r="F4" s="37">
        <v>4.0</v>
      </c>
      <c r="G4" s="37">
        <v>5.0</v>
      </c>
      <c r="H4" s="37">
        <v>4.0</v>
      </c>
      <c r="I4" s="37">
        <v>4.0</v>
      </c>
      <c r="J4" s="37">
        <v>3.0</v>
      </c>
      <c r="K4" s="37">
        <v>5.0</v>
      </c>
      <c r="L4" s="94">
        <f t="shared" ref="L4:L5" si="1">SUM(C4:K4)</f>
        <v>36</v>
      </c>
      <c r="M4" s="37">
        <v>4.0</v>
      </c>
      <c r="N4" s="37">
        <v>4.0</v>
      </c>
      <c r="O4" s="37">
        <v>3.0</v>
      </c>
      <c r="P4" s="37">
        <v>4.0</v>
      </c>
      <c r="Q4" s="37">
        <v>4.0</v>
      </c>
      <c r="R4" s="37">
        <v>5.0</v>
      </c>
      <c r="S4" s="37">
        <v>3.0</v>
      </c>
      <c r="T4" s="37">
        <v>5.0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4.0</v>
      </c>
      <c r="D5" s="97">
        <v>5.0</v>
      </c>
      <c r="E5" s="97">
        <v>5.0</v>
      </c>
      <c r="F5" s="97">
        <v>5.0</v>
      </c>
      <c r="G5" s="97">
        <v>6.0</v>
      </c>
      <c r="H5" s="97">
        <v>4.0</v>
      </c>
      <c r="I5" s="97">
        <v>6.0</v>
      </c>
      <c r="J5" s="97">
        <v>4.0</v>
      </c>
      <c r="K5" s="97">
        <v>4.0</v>
      </c>
      <c r="L5" s="98">
        <f t="shared" si="1"/>
        <v>43</v>
      </c>
      <c r="M5" s="97">
        <v>5.0</v>
      </c>
      <c r="N5" s="97">
        <v>5.0</v>
      </c>
      <c r="O5" s="97">
        <v>3.0</v>
      </c>
      <c r="P5" s="97">
        <v>4.0</v>
      </c>
      <c r="Q5" s="97">
        <v>5.0</v>
      </c>
      <c r="R5" s="97">
        <v>6.0</v>
      </c>
      <c r="S5" s="97">
        <v>4.0</v>
      </c>
      <c r="T5" s="97">
        <v>5.0</v>
      </c>
      <c r="U5" s="97">
        <v>5.0</v>
      </c>
      <c r="V5" s="98">
        <f t="shared" si="2"/>
        <v>42</v>
      </c>
      <c r="W5" s="99">
        <f t="shared" si="3"/>
        <v>85</v>
      </c>
      <c r="X5" s="100" t="str">
        <f>IFS(W5&gt;$W$4,"+",$W$4&gt;W5,"")</f>
        <v>+</v>
      </c>
      <c r="Y5" s="100">
        <f>W5-$W$4</f>
        <v>13</v>
      </c>
      <c r="Z5" s="101" t="str">
        <f>X5&amp;Y5</f>
        <v>+13</v>
      </c>
      <c r="AA5" s="1"/>
      <c r="AB5" s="16" t="s">
        <v>41</v>
      </c>
      <c r="AC5" s="44">
        <f>COUNTIF($C$6:$U$6,"🐥")</f>
        <v>1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💩</v>
      </c>
      <c r="E6" s="103" t="str">
        <f t="shared" si="4"/>
        <v>🧻</v>
      </c>
      <c r="F6" s="103" t="str">
        <f t="shared" si="4"/>
        <v>🧻</v>
      </c>
      <c r="G6" s="103" t="str">
        <f t="shared" si="4"/>
        <v>🧻</v>
      </c>
      <c r="H6" s="103" t="str">
        <f t="shared" si="4"/>
        <v>🚩</v>
      </c>
      <c r="I6" s="103" t="str">
        <f t="shared" si="4"/>
        <v>💩</v>
      </c>
      <c r="J6" s="103" t="str">
        <f t="shared" si="4"/>
        <v>🧻</v>
      </c>
      <c r="K6" s="103" t="str">
        <f t="shared" si="4"/>
        <v>🐥</v>
      </c>
      <c r="L6" s="104"/>
      <c r="M6" s="103" t="str">
        <f t="shared" ref="M6:U6" si="5">IFS(M$4-M5=1,$AD$5,M$4-M5=2,$AD$4,M$4=M5,$AD$6,M$4-M5=-1,$AD$7,M$4-M5=-2,$AD$8,M$4-M5=-3,$AD$9)</f>
        <v>🧻</v>
      </c>
      <c r="N6" s="103" t="str">
        <f t="shared" si="5"/>
        <v>🧻</v>
      </c>
      <c r="O6" s="103" t="str">
        <f t="shared" si="5"/>
        <v>🚩</v>
      </c>
      <c r="P6" s="103" t="str">
        <f t="shared" si="5"/>
        <v>🚩</v>
      </c>
      <c r="Q6" s="103" t="str">
        <f t="shared" si="5"/>
        <v>🧻</v>
      </c>
      <c r="R6" s="103" t="str">
        <f t="shared" si="5"/>
        <v>🧻</v>
      </c>
      <c r="S6" s="103" t="str">
        <f t="shared" si="5"/>
        <v>🧻</v>
      </c>
      <c r="T6" s="103" t="str">
        <f t="shared" si="5"/>
        <v>🚩</v>
      </c>
      <c r="U6" s="103" t="str">
        <f t="shared" si="5"/>
        <v>🧻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5</v>
      </c>
      <c r="AD6" s="17" t="s">
        <v>19</v>
      </c>
      <c r="AE6" s="68">
        <f>COUNTIF($C$8:$U$8,"🚩")</f>
        <v>2</v>
      </c>
    </row>
    <row r="7">
      <c r="A7" s="8"/>
      <c r="B7" s="107" t="str">
        <f>AE3</f>
        <v>Trey</v>
      </c>
      <c r="C7" s="97">
        <v>6.0</v>
      </c>
      <c r="D7" s="97">
        <v>5.0</v>
      </c>
      <c r="E7" s="97">
        <v>5.0</v>
      </c>
      <c r="F7" s="97">
        <v>6.0</v>
      </c>
      <c r="G7" s="97">
        <v>7.0</v>
      </c>
      <c r="H7" s="97">
        <v>6.0</v>
      </c>
      <c r="I7" s="97">
        <v>5.0</v>
      </c>
      <c r="J7" s="97">
        <v>4.0</v>
      </c>
      <c r="K7" s="97">
        <v>7.0</v>
      </c>
      <c r="L7" s="98">
        <f>SUM(C7:K7)</f>
        <v>51</v>
      </c>
      <c r="M7" s="97">
        <v>6.0</v>
      </c>
      <c r="N7" s="97">
        <v>7.0</v>
      </c>
      <c r="O7" s="97">
        <v>3.0</v>
      </c>
      <c r="P7" s="97">
        <v>5.0</v>
      </c>
      <c r="Q7" s="97">
        <v>5.0</v>
      </c>
      <c r="R7" s="97">
        <v>6.0</v>
      </c>
      <c r="S7" s="97">
        <v>3.0</v>
      </c>
      <c r="T7" s="97">
        <v>7.0</v>
      </c>
      <c r="U7" s="97">
        <v>5.0</v>
      </c>
      <c r="V7" s="98">
        <f>SUM(M7:U7)</f>
        <v>47</v>
      </c>
      <c r="W7" s="99">
        <f>SUM(L7+V7)</f>
        <v>98</v>
      </c>
      <c r="X7" s="100" t="str">
        <f>IFS(W7&gt;$W$4,"+",$W$4&gt;W7,"")</f>
        <v>+</v>
      </c>
      <c r="Y7" s="100">
        <f>W7-$W$4</f>
        <v>26</v>
      </c>
      <c r="Z7" s="101" t="str">
        <f>X7&amp;Y7</f>
        <v>+26</v>
      </c>
      <c r="AB7" s="16" t="s">
        <v>43</v>
      </c>
      <c r="AC7" s="44">
        <f>COUNTIF($C$6:$U$6,"🧻")</f>
        <v>10</v>
      </c>
      <c r="AD7" s="17" t="s">
        <v>23</v>
      </c>
      <c r="AE7" s="68">
        <f>COUNTIF($C$8:$U$8,"🧻")</f>
        <v>7</v>
      </c>
    </row>
    <row r="8">
      <c r="A8" s="8"/>
      <c r="B8" s="108"/>
      <c r="C8" s="80" t="str">
        <f t="shared" ref="C8:K8" si="6">IFS(C$4-C7=1,$AD$5,C$4-C7=2,$AD$4,C$4=C7,$AD$6,C$4-C7=-1,$AD$7,C$4-C7=-2,$AD$8,C$4-C7=-3,$AD$9)</f>
        <v>💩</v>
      </c>
      <c r="D8" s="80" t="str">
        <f t="shared" si="6"/>
        <v>💩</v>
      </c>
      <c r="E8" s="80" t="str">
        <f t="shared" si="6"/>
        <v>🧻</v>
      </c>
      <c r="F8" s="80" t="str">
        <f t="shared" si="6"/>
        <v>💩</v>
      </c>
      <c r="G8" s="80" t="str">
        <f t="shared" si="6"/>
        <v>💩</v>
      </c>
      <c r="H8" s="80" t="str">
        <f t="shared" si="6"/>
        <v>💩</v>
      </c>
      <c r="I8" s="80" t="str">
        <f t="shared" si="6"/>
        <v>🧻</v>
      </c>
      <c r="J8" s="80" t="str">
        <f t="shared" si="6"/>
        <v>🧻</v>
      </c>
      <c r="K8" s="80" t="str">
        <f t="shared" si="6"/>
        <v>💩</v>
      </c>
      <c r="L8" s="109"/>
      <c r="M8" s="80" t="str">
        <f t="shared" ref="M8:U8" si="7">IFS(M$4-M7=1,$AD$5,M$4-M7=2,$AD$4,M$4=M7,$AD$6,M$4-M7=-1,$AD$7,M$4-M7=-2,$AD$8,M$4-M7=-3,$AD$9)</f>
        <v>💩</v>
      </c>
      <c r="N8" s="80" t="str">
        <f t="shared" si="7"/>
        <v>☠️</v>
      </c>
      <c r="O8" s="80" t="str">
        <f t="shared" si="7"/>
        <v>🚩</v>
      </c>
      <c r="P8" s="80" t="str">
        <f t="shared" si="7"/>
        <v>🧻</v>
      </c>
      <c r="Q8" s="80" t="str">
        <f t="shared" si="7"/>
        <v>🧻</v>
      </c>
      <c r="R8" s="80" t="str">
        <f t="shared" si="7"/>
        <v>🧻</v>
      </c>
      <c r="S8" s="80" t="str">
        <f t="shared" si="7"/>
        <v>🚩</v>
      </c>
      <c r="T8" s="80" t="str">
        <f t="shared" si="7"/>
        <v>💩</v>
      </c>
      <c r="U8" s="80" t="str">
        <f t="shared" si="7"/>
        <v>🧻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2</v>
      </c>
      <c r="AD8" s="17" t="s">
        <v>27</v>
      </c>
      <c r="AE8" s="68">
        <f>COUNTIF($C$8:$U$8,"💩")</f>
        <v>8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1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9</v>
      </c>
      <c r="AD10" s="113"/>
      <c r="AE10" s="114">
        <f>Count(C23:U23)</f>
        <v>2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10</v>
      </c>
      <c r="AD11" s="80"/>
      <c r="AE11" s="112">
        <f>U25</f>
        <v>2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Trent</v>
      </c>
      <c r="AD12" s="116">
        <f>IFS(AC11&gt;AE11,AC11-AE11,AE11&gt;AC11,AE11-AC11,AC11=AE11,"AS")</f>
        <v>8</v>
      </c>
      <c r="AE12" s="120">
        <f>AD12*AD3</f>
        <v>40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>
        <f t="shared" si="8"/>
        <v>1</v>
      </c>
      <c r="E18" s="1">
        <f t="shared" si="8"/>
        <v>1</v>
      </c>
      <c r="F18" s="1">
        <f t="shared" si="8"/>
        <v>2</v>
      </c>
      <c r="G18" s="1">
        <f t="shared" si="8"/>
        <v>3</v>
      </c>
      <c r="H18" s="1">
        <f t="shared" si="8"/>
        <v>4</v>
      </c>
      <c r="I18" s="1">
        <f t="shared" si="8"/>
        <v>3</v>
      </c>
      <c r="J18" s="1">
        <f t="shared" si="8"/>
        <v>3</v>
      </c>
      <c r="K18" s="1">
        <f t="shared" si="8"/>
        <v>5</v>
      </c>
      <c r="L18" s="1">
        <f t="shared" si="8"/>
        <v>5</v>
      </c>
      <c r="M18" s="1">
        <f t="shared" si="8"/>
        <v>6</v>
      </c>
      <c r="N18" s="1">
        <f t="shared" si="8"/>
        <v>7</v>
      </c>
      <c r="O18" s="1">
        <f t="shared" si="8"/>
        <v>7</v>
      </c>
      <c r="P18" s="1">
        <f t="shared" si="8"/>
        <v>8</v>
      </c>
      <c r="Q18" s="1">
        <f t="shared" si="8"/>
        <v>8</v>
      </c>
      <c r="R18" s="1">
        <f t="shared" si="8"/>
        <v>8</v>
      </c>
      <c r="S18" s="1">
        <f t="shared" si="8"/>
        <v>7</v>
      </c>
      <c r="T18" s="1">
        <f t="shared" si="8"/>
        <v>8</v>
      </c>
      <c r="U18" s="1">
        <f t="shared" si="8"/>
        <v>8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>🚩</v>
      </c>
      <c r="D19" s="1" t="str">
        <f t="shared" ref="D19:K19" si="9">IF(D5&lt;D7,D6,)</f>
        <v/>
      </c>
      <c r="E19" s="1" t="str">
        <f t="shared" si="9"/>
        <v/>
      </c>
      <c r="F19" s="1" t="str">
        <f t="shared" si="9"/>
        <v>🧻</v>
      </c>
      <c r="G19" s="1" t="str">
        <f t="shared" si="9"/>
        <v>🧻</v>
      </c>
      <c r="H19" s="1" t="str">
        <f t="shared" si="9"/>
        <v>🚩</v>
      </c>
      <c r="I19" s="1" t="str">
        <f t="shared" si="9"/>
        <v/>
      </c>
      <c r="J19" s="1" t="str">
        <f t="shared" si="9"/>
        <v/>
      </c>
      <c r="K19" s="1" t="str">
        <f t="shared" si="9"/>
        <v>🐥</v>
      </c>
      <c r="L19" s="1"/>
      <c r="M19" s="1" t="str">
        <f t="shared" ref="M19:U19" si="10">IF(M5&lt;M7,M6,)</f>
        <v>🧻</v>
      </c>
      <c r="N19" s="1" t="str">
        <f t="shared" si="10"/>
        <v>🧻</v>
      </c>
      <c r="O19" s="1" t="str">
        <f t="shared" si="10"/>
        <v/>
      </c>
      <c r="P19" s="1" t="str">
        <f t="shared" si="10"/>
        <v>🚩</v>
      </c>
      <c r="Q19" s="1" t="str">
        <f t="shared" si="10"/>
        <v/>
      </c>
      <c r="R19" s="1" t="str">
        <f t="shared" si="10"/>
        <v/>
      </c>
      <c r="S19" s="1" t="str">
        <f t="shared" si="10"/>
        <v/>
      </c>
      <c r="T19" s="1" t="str">
        <f t="shared" si="10"/>
        <v>🚩</v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/>
      </c>
      <c r="E20" s="1" t="str">
        <f t="shared" si="11"/>
        <v/>
      </c>
      <c r="F20" s="1" t="str">
        <f t="shared" si="11"/>
        <v/>
      </c>
      <c r="G20" s="1" t="str">
        <f t="shared" si="11"/>
        <v/>
      </c>
      <c r="H20" s="1" t="str">
        <f t="shared" si="11"/>
        <v/>
      </c>
      <c r="I20" s="1" t="str">
        <f t="shared" si="11"/>
        <v>🧻</v>
      </c>
      <c r="J20" s="1" t="str">
        <f t="shared" si="11"/>
        <v/>
      </c>
      <c r="K20" s="1" t="str">
        <f t="shared" si="11"/>
        <v/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/>
      </c>
      <c r="S20" s="1" t="str">
        <f t="shared" si="12"/>
        <v>🚩</v>
      </c>
      <c r="T20" s="1" t="str">
        <f t="shared" si="12"/>
        <v/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>
        <f>IFS(C19=$AD$4,Rules!$G$3,C19=$AD$5,Rules!$G$4,C19=$AD$6,Rules!$G$5,C19=$AD$7,Rules!$G$6,C19=$AD$8,Rules!$G$7,C19="",)</f>
        <v>1</v>
      </c>
      <c r="D22" s="1" t="str">
        <f>IFS(D19=$AD$4,Rules!$G$3,D19=$AD$5,Rules!$G$4,D19=$AD$6,Rules!$G$5,D19=$AD$7,Rules!$G$6,D19=$AD$8,Rules!$G$7,D19="",)</f>
        <v/>
      </c>
      <c r="E22" s="1" t="str">
        <f>IFS(E19=$AD$4,Rules!$G$3,E19=$AD$5,Rules!$G$4,E19=$AD$6,Rules!$G$5,E19=$AD$7,Rules!$G$6,E19=$AD$8,Rules!$G$7,E19="",)</f>
        <v/>
      </c>
      <c r="F22" s="1">
        <f>IFS(F19=$AD$4,Rules!$G$3,F19=$AD$5,Rules!$G$4,F19=$AD$6,Rules!$G$5,F19=$AD$7,Rules!$G$6,F19=$AD$8,Rules!$G$7,F19="",)</f>
        <v>1</v>
      </c>
      <c r="G22" s="1">
        <f>IFS(G19=$AD$4,Rules!$G$3,G19=$AD$5,Rules!$G$4,G19=$AD$6,Rules!$G$5,G19=$AD$7,Rules!$G$6,G19=$AD$8,Rules!$G$7,G19="",)</f>
        <v>1</v>
      </c>
      <c r="H22" s="1">
        <f>IFS(H19=$AD$4,Rules!$G$3,H19=$AD$5,Rules!$G$4,H19=$AD$6,Rules!$G$5,H19=$AD$7,Rules!$G$6,H19=$AD$8,Rules!$G$7,H19="",)</f>
        <v>1</v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>
        <f>IFS(K19=$AD$4,Rules!$G$3,K19=$AD$5,Rules!$G$4,K19=$AD$6,Rules!$G$5,K19=$AD$7,Rules!$G$6,K19=$AD$8,Rules!$G$7,K19="",)</f>
        <v>2</v>
      </c>
      <c r="L22" s="1"/>
      <c r="M22" s="1">
        <f>IFS(M19=$AD$4,Rules!$G$3,M19=$AD$5,Rules!$G$4,M19=$AD$6,Rules!$G$5,M19=$AD$7,Rules!$G$6,M19=$AD$8,Rules!$G$7,M19="",)</f>
        <v>1</v>
      </c>
      <c r="N22" s="1">
        <f>IFS(N19=$AD$4,Rules!$G$3,N19=$AD$5,Rules!$G$4,N19=$AD$6,Rules!$G$5,N19=$AD$7,Rules!$G$6,N19=$AD$8,Rules!$G$7,N19="",)</f>
        <v>1</v>
      </c>
      <c r="O22" s="1" t="str">
        <f>IFS(O19=$AD$4,Rules!$G$3,O19=$AD$5,Rules!$G$4,O19=$AD$6,Rules!$G$5,O19=$AD$7,Rules!$G$6,O19=$AD$8,Rules!$G$7,O19="",)</f>
        <v/>
      </c>
      <c r="P22" s="1">
        <f>IFS(P19=$AD$4,Rules!$G$3,P19=$AD$5,Rules!$G$4,P19=$AD$6,Rules!$G$5,P19=$AD$7,Rules!$G$6,P19=$AD$8,Rules!$G$7,P19="",)</f>
        <v>1</v>
      </c>
      <c r="Q22" s="1" t="str">
        <f>IFS(Q19=$AD$4,Rules!$G$3,Q19=$AD$5,Rules!$G$4,Q19=$AD$6,Rules!$G$5,Q19=$AD$7,Rules!$G$6,Q19=$AD$8,Rules!$G$7,Q19="",)</f>
        <v/>
      </c>
      <c r="R22" s="1" t="str">
        <f>IFS(R19=$AD$4,Rules!$G$3,R19=$AD$5,Rules!$G$4,R19=$AD$6,Rules!$G$5,R19=$AD$7,Rules!$G$6,R19=$AD$8,Rules!$G$7,R19="",)</f>
        <v/>
      </c>
      <c r="S22" s="1" t="str">
        <f>IFS(S19=$AD$4,Rules!$G$3,S19=$AD$5,Rules!$G$4,S19=$AD$6,Rules!$G$5,S19=$AD$7,Rules!$G$6,S19=$AD$8,Rules!$G$7,S19="",)</f>
        <v/>
      </c>
      <c r="T22" s="1">
        <f>IFS(T19=$AD$4,Rules!$G$3,T19=$AD$5,Rules!$G$4,T19=$AD$6,Rules!$G$5,T19=$AD$7,Rules!$G$6,T19=$AD$8,Rules!$G$7,T19="",)</f>
        <v>1</v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 t="str">
        <f>IFS(F20=$AD$4,Rules!$G$3,F20=$AD$5,Rules!$G$4,F20=$AD$6,Rules!$G$5,F20=$AD$7,Rules!$G$6,F20=$AD$8,Rules!$G$7,F20="",)</f>
        <v/>
      </c>
      <c r="G23" s="1" t="str">
        <f>IFS(G20=$AD$4,Rules!$G$3,G20=$AD$5,Rules!$G$4,G20=$AD$6,Rules!$G$5,G20=$AD$7,Rules!$G$6,G20=$AD$8,Rules!$G$7,G20="",)</f>
        <v/>
      </c>
      <c r="H23" s="1" t="str">
        <f>IFS(H20=$AD$4,Rules!$G$3,H20=$AD$5,Rules!$G$4,H20=$AD$6,Rules!$G$5,H20=$AD$7,Rules!$G$6,H20=$AD$8,Rules!$G$7,H20="",)</f>
        <v/>
      </c>
      <c r="I23" s="1">
        <f>IFS(I20=$AD$4,Rules!$G$3,I20=$AD$5,Rules!$G$4,I20=$AD$6,Rules!$G$5,I20=$AD$7,Rules!$G$6,I20=$AD$8,Rules!$G$7,I20="",)</f>
        <v>1</v>
      </c>
      <c r="J23" s="1" t="str">
        <f>IFS(J20=$AD$4,Rules!$G$3,J20=$AD$5,Rules!$G$4,J20=$AD$6,Rules!$G$5,J20=$AD$7,Rules!$G$6,J20=$AD$8,Rules!$G$7,J20="",)</f>
        <v/>
      </c>
      <c r="K23" s="1" t="str">
        <f>IFS(K20=$AD$4,Rules!$G$3,K20=$AD$5,Rules!$G$4,K20=$AD$6,Rules!$G$5,K20=$AD$7,Rules!$G$6,K20=$AD$8,Rules!$G$7,K20="",)</f>
        <v/>
      </c>
      <c r="L23" s="1"/>
      <c r="M23" s="1" t="str">
        <f>IFS(M20=$AD$4,Rules!$G$3,M20=$AD$5,Rules!$G$4,M20=$AD$6,Rules!$G$5,M20=$AD$7,Rules!$G$6,M20=$AD$8,Rules!$G$7,M20="",)</f>
        <v/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>
        <f>IFS(S20=$AD$4,Rules!$G$3,S20=$AD$5,Rules!$G$4,S20=$AD$6,Rules!$G$5,S20=$AD$7,Rules!$G$6,S20=$AD$8,Rules!$G$7,S20="",)</f>
        <v>1</v>
      </c>
      <c r="T23" s="1" t="str">
        <f>IFS(T20=$AD$4,Rules!$G$3,T20=$AD$5,Rules!$G$4,T20=$AD$6,Rules!$G$5,T20=$AD$7,Rules!$G$6,T20=$AD$8,Rules!$G$7,T20="",)</f>
        <v/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>
        <f t="shared" ref="C24:C25" si="14">C22</f>
        <v>1</v>
      </c>
      <c r="D24" s="1">
        <f t="shared" ref="D24:U24" si="13">D22+C24</f>
        <v>1</v>
      </c>
      <c r="E24" s="1">
        <f t="shared" si="13"/>
        <v>1</v>
      </c>
      <c r="F24" s="1">
        <f t="shared" si="13"/>
        <v>2</v>
      </c>
      <c r="G24" s="1">
        <f t="shared" si="13"/>
        <v>3</v>
      </c>
      <c r="H24" s="1">
        <f t="shared" si="13"/>
        <v>4</v>
      </c>
      <c r="I24" s="1">
        <f t="shared" si="13"/>
        <v>4</v>
      </c>
      <c r="J24" s="1">
        <f t="shared" si="13"/>
        <v>4</v>
      </c>
      <c r="K24" s="1">
        <f t="shared" si="13"/>
        <v>6</v>
      </c>
      <c r="L24" s="1">
        <f t="shared" si="13"/>
        <v>6</v>
      </c>
      <c r="M24" s="1">
        <f t="shared" si="13"/>
        <v>7</v>
      </c>
      <c r="N24" s="1">
        <f t="shared" si="13"/>
        <v>8</v>
      </c>
      <c r="O24" s="1">
        <f t="shared" si="13"/>
        <v>8</v>
      </c>
      <c r="P24" s="1">
        <f t="shared" si="13"/>
        <v>9</v>
      </c>
      <c r="Q24" s="1">
        <f t="shared" si="13"/>
        <v>9</v>
      </c>
      <c r="R24" s="1">
        <f t="shared" si="13"/>
        <v>9</v>
      </c>
      <c r="S24" s="1">
        <f t="shared" si="13"/>
        <v>9</v>
      </c>
      <c r="T24" s="1">
        <f t="shared" si="13"/>
        <v>10</v>
      </c>
      <c r="U24" s="1">
        <f t="shared" si="13"/>
        <v>10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0</v>
      </c>
      <c r="E25" s="1">
        <f t="shared" si="15"/>
        <v>0</v>
      </c>
      <c r="F25" s="1">
        <f t="shared" si="15"/>
        <v>0</v>
      </c>
      <c r="G25" s="1">
        <f t="shared" si="15"/>
        <v>0</v>
      </c>
      <c r="H25" s="1">
        <f t="shared" si="15"/>
        <v>0</v>
      </c>
      <c r="I25" s="1">
        <f t="shared" si="15"/>
        <v>1</v>
      </c>
      <c r="J25" s="1">
        <f t="shared" si="15"/>
        <v>1</v>
      </c>
      <c r="K25" s="1">
        <f t="shared" si="15"/>
        <v>1</v>
      </c>
      <c r="L25" s="1">
        <f t="shared" si="15"/>
        <v>1</v>
      </c>
      <c r="M25" s="1">
        <f t="shared" si="15"/>
        <v>1</v>
      </c>
      <c r="N25" s="1">
        <f t="shared" si="15"/>
        <v>1</v>
      </c>
      <c r="O25" s="1">
        <f t="shared" si="15"/>
        <v>1</v>
      </c>
      <c r="P25" s="1">
        <f t="shared" si="15"/>
        <v>1</v>
      </c>
      <c r="Q25" s="1">
        <f t="shared" si="15"/>
        <v>1</v>
      </c>
      <c r="R25" s="1">
        <f t="shared" si="15"/>
        <v>1</v>
      </c>
      <c r="S25" s="1">
        <f t="shared" si="15"/>
        <v>2</v>
      </c>
      <c r="T25" s="1">
        <f t="shared" si="15"/>
        <v>2</v>
      </c>
      <c r="U25" s="1">
        <f t="shared" si="15"/>
        <v>2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57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46152.0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3.0</v>
      </c>
      <c r="AE3" s="93" t="str">
        <f>Rules!J3</f>
        <v>Trey</v>
      </c>
    </row>
    <row r="4">
      <c r="A4" s="8"/>
      <c r="B4" s="89" t="s">
        <v>18</v>
      </c>
      <c r="C4" s="37">
        <v>5.0</v>
      </c>
      <c r="D4" s="37">
        <v>4.0</v>
      </c>
      <c r="E4" s="37">
        <v>3.0</v>
      </c>
      <c r="F4" s="37">
        <v>4.0</v>
      </c>
      <c r="G4" s="37">
        <v>4.0</v>
      </c>
      <c r="H4" s="37">
        <v>5.0</v>
      </c>
      <c r="I4" s="37">
        <v>3.0</v>
      </c>
      <c r="J4" s="37">
        <v>4.0</v>
      </c>
      <c r="K4" s="37">
        <v>4.0</v>
      </c>
      <c r="L4" s="94">
        <f t="shared" ref="L4:L5" si="1">SUM(C4:K4)</f>
        <v>36</v>
      </c>
      <c r="M4" s="37">
        <v>5.0</v>
      </c>
      <c r="N4" s="37">
        <v>4.0</v>
      </c>
      <c r="O4" s="37">
        <v>4.0</v>
      </c>
      <c r="P4" s="37">
        <v>3.0</v>
      </c>
      <c r="Q4" s="37">
        <v>4.0</v>
      </c>
      <c r="R4" s="37">
        <v>4.0</v>
      </c>
      <c r="S4" s="37">
        <v>5.0</v>
      </c>
      <c r="T4" s="37">
        <v>3.0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5.0</v>
      </c>
      <c r="D5" s="97">
        <v>4.0</v>
      </c>
      <c r="E5" s="97">
        <v>3.0</v>
      </c>
      <c r="F5" s="97">
        <v>4.0</v>
      </c>
      <c r="G5" s="97">
        <v>6.0</v>
      </c>
      <c r="H5" s="97">
        <v>6.0</v>
      </c>
      <c r="I5" s="97">
        <v>4.0</v>
      </c>
      <c r="J5" s="97">
        <v>5.0</v>
      </c>
      <c r="K5" s="97">
        <v>6.0</v>
      </c>
      <c r="L5" s="98">
        <f t="shared" si="1"/>
        <v>43</v>
      </c>
      <c r="M5" s="97">
        <v>5.0</v>
      </c>
      <c r="N5" s="97">
        <v>6.0</v>
      </c>
      <c r="O5" s="97">
        <v>4.0</v>
      </c>
      <c r="P5" s="97">
        <v>3.0</v>
      </c>
      <c r="Q5" s="97">
        <v>5.0</v>
      </c>
      <c r="R5" s="97">
        <v>6.0</v>
      </c>
      <c r="S5" s="97">
        <v>6.0</v>
      </c>
      <c r="T5" s="97">
        <v>3.0</v>
      </c>
      <c r="U5" s="97">
        <v>6.0</v>
      </c>
      <c r="V5" s="98">
        <f t="shared" si="2"/>
        <v>44</v>
      </c>
      <c r="W5" s="99">
        <f t="shared" si="3"/>
        <v>87</v>
      </c>
      <c r="X5" s="100" t="str">
        <f>IFS(W5&gt;$W$4,"+",$W$4&gt;W5,"")</f>
        <v>+</v>
      </c>
      <c r="Y5" s="100">
        <f>W5-$W$4</f>
        <v>15</v>
      </c>
      <c r="Z5" s="101" t="str">
        <f>X5&amp;Y5</f>
        <v>+15</v>
      </c>
      <c r="AA5" s="1"/>
      <c r="AB5" s="16" t="s">
        <v>41</v>
      </c>
      <c r="AC5" s="44">
        <f>COUNTIF($C$6:$U$6,"🐥")</f>
        <v>0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🚩</v>
      </c>
      <c r="E6" s="103" t="str">
        <f t="shared" si="4"/>
        <v>🚩</v>
      </c>
      <c r="F6" s="103" t="str">
        <f t="shared" si="4"/>
        <v>🚩</v>
      </c>
      <c r="G6" s="103" t="str">
        <f t="shared" si="4"/>
        <v>💩</v>
      </c>
      <c r="H6" s="103" t="str">
        <f t="shared" si="4"/>
        <v>🧻</v>
      </c>
      <c r="I6" s="103" t="str">
        <f t="shared" si="4"/>
        <v>🧻</v>
      </c>
      <c r="J6" s="103" t="str">
        <f t="shared" si="4"/>
        <v>🧻</v>
      </c>
      <c r="K6" s="103" t="str">
        <f t="shared" si="4"/>
        <v>💩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💩</v>
      </c>
      <c r="O6" s="103" t="str">
        <f t="shared" si="5"/>
        <v>🚩</v>
      </c>
      <c r="P6" s="103" t="str">
        <f t="shared" si="5"/>
        <v>🚩</v>
      </c>
      <c r="Q6" s="103" t="str">
        <f t="shared" si="5"/>
        <v>🧻</v>
      </c>
      <c r="R6" s="103" t="str">
        <f t="shared" si="5"/>
        <v>💩</v>
      </c>
      <c r="S6" s="103" t="str">
        <f t="shared" si="5"/>
        <v>🧻</v>
      </c>
      <c r="T6" s="103" t="str">
        <f t="shared" si="5"/>
        <v>🚩</v>
      </c>
      <c r="U6" s="103" t="str">
        <f t="shared" si="5"/>
        <v>💩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8</v>
      </c>
      <c r="AD6" s="17" t="s">
        <v>19</v>
      </c>
      <c r="AE6" s="68">
        <f>COUNTIF($C$8:$U$8,"🚩")</f>
        <v>6</v>
      </c>
    </row>
    <row r="7">
      <c r="A7" s="8"/>
      <c r="B7" s="107" t="str">
        <f>AE3</f>
        <v>Trey</v>
      </c>
      <c r="C7" s="97">
        <v>6.0</v>
      </c>
      <c r="D7" s="97">
        <v>5.0</v>
      </c>
      <c r="E7" s="97">
        <v>3.0</v>
      </c>
      <c r="F7" s="97">
        <v>4.0</v>
      </c>
      <c r="G7" s="97">
        <v>6.0</v>
      </c>
      <c r="H7" s="97">
        <v>5.0</v>
      </c>
      <c r="I7" s="97">
        <v>4.0</v>
      </c>
      <c r="J7" s="97">
        <v>5.0</v>
      </c>
      <c r="K7" s="97">
        <v>5.0</v>
      </c>
      <c r="L7" s="98">
        <f>SUM(C7:K7)</f>
        <v>43</v>
      </c>
      <c r="M7" s="97">
        <v>6.0</v>
      </c>
      <c r="N7" s="97">
        <v>4.0</v>
      </c>
      <c r="O7" s="97">
        <v>5.0</v>
      </c>
      <c r="P7" s="97">
        <v>3.0</v>
      </c>
      <c r="Q7" s="97">
        <v>6.0</v>
      </c>
      <c r="R7" s="97">
        <v>6.0</v>
      </c>
      <c r="S7" s="97">
        <v>5.0</v>
      </c>
      <c r="T7" s="97">
        <v>4.0</v>
      </c>
      <c r="U7" s="97">
        <v>5.0</v>
      </c>
      <c r="V7" s="98">
        <f>SUM(M7:U7)</f>
        <v>44</v>
      </c>
      <c r="W7" s="99">
        <f>SUM(L7+V7)</f>
        <v>87</v>
      </c>
      <c r="X7" s="100" t="str">
        <f>IFS(W7&gt;$W$4,"+",$W$4&gt;W7,"")</f>
        <v>+</v>
      </c>
      <c r="Y7" s="100">
        <f>W7-$W$4</f>
        <v>15</v>
      </c>
      <c r="Z7" s="101" t="str">
        <f>X7&amp;Y7</f>
        <v>+15</v>
      </c>
      <c r="AB7" s="16" t="s">
        <v>43</v>
      </c>
      <c r="AC7" s="44">
        <f>COUNTIF($C$6:$U$6,"🧻")</f>
        <v>5</v>
      </c>
      <c r="AD7" s="17" t="s">
        <v>23</v>
      </c>
      <c r="AE7" s="68">
        <f>COUNTIF($C$8:$U$8,"🧻")</f>
        <v>9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🧻</v>
      </c>
      <c r="E8" s="80" t="str">
        <f t="shared" si="6"/>
        <v>🚩</v>
      </c>
      <c r="F8" s="80" t="str">
        <f t="shared" si="6"/>
        <v>🚩</v>
      </c>
      <c r="G8" s="80" t="str">
        <f t="shared" si="6"/>
        <v>💩</v>
      </c>
      <c r="H8" s="80" t="str">
        <f t="shared" si="6"/>
        <v>🚩</v>
      </c>
      <c r="I8" s="80" t="str">
        <f t="shared" si="6"/>
        <v>🧻</v>
      </c>
      <c r="J8" s="80" t="str">
        <f t="shared" si="6"/>
        <v>🧻</v>
      </c>
      <c r="K8" s="80" t="str">
        <f t="shared" si="6"/>
        <v>🧻</v>
      </c>
      <c r="L8" s="109"/>
      <c r="M8" s="80" t="str">
        <f t="shared" ref="M8:U8" si="7">IFS(M$4-M7=1,$AD$5,M$4-M7=2,$AD$4,M$4=M7,$AD$6,M$4-M7=-1,$AD$7,M$4-M7=-2,$AD$8,M$4-M7=-3,$AD$9)</f>
        <v>🧻</v>
      </c>
      <c r="N8" s="80" t="str">
        <f t="shared" si="7"/>
        <v>🚩</v>
      </c>
      <c r="O8" s="80" t="str">
        <f t="shared" si="7"/>
        <v>🧻</v>
      </c>
      <c r="P8" s="80" t="str">
        <f t="shared" si="7"/>
        <v>🚩</v>
      </c>
      <c r="Q8" s="80" t="str">
        <f t="shared" si="7"/>
        <v>💩</v>
      </c>
      <c r="R8" s="80" t="str">
        <f t="shared" si="7"/>
        <v>💩</v>
      </c>
      <c r="S8" s="80" t="str">
        <f t="shared" si="7"/>
        <v>🚩</v>
      </c>
      <c r="T8" s="80" t="str">
        <f t="shared" si="7"/>
        <v>🧻</v>
      </c>
      <c r="U8" s="80" t="str">
        <f t="shared" si="7"/>
        <v>🧻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5</v>
      </c>
      <c r="AD8" s="17" t="s">
        <v>27</v>
      </c>
      <c r="AE8" s="68">
        <f>COUNTIF($C$8:$U$8,"💩")</f>
        <v>3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0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6</v>
      </c>
      <c r="AD10" s="113"/>
      <c r="AE10" s="114">
        <f>Count(C23:U23)</f>
        <v>5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6</v>
      </c>
      <c r="AD11" s="80"/>
      <c r="AE11" s="112">
        <f>U25</f>
        <v>5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Trent</v>
      </c>
      <c r="AD12" s="116">
        <f>IFS(AC11&gt;AE11,AC11-AE11,AE11&gt;AC11,AE11-AC11,AC11=AE11,"AS")</f>
        <v>1</v>
      </c>
      <c r="AE12" s="120">
        <f>AD12*AD3</f>
        <v>3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>
        <f t="shared" si="8"/>
        <v>2</v>
      </c>
      <c r="E18" s="1">
        <f t="shared" si="8"/>
        <v>2</v>
      </c>
      <c r="F18" s="1">
        <f t="shared" si="8"/>
        <v>2</v>
      </c>
      <c r="G18" s="1">
        <f t="shared" si="8"/>
        <v>2</v>
      </c>
      <c r="H18" s="1">
        <f t="shared" si="8"/>
        <v>1</v>
      </c>
      <c r="I18" s="1">
        <f t="shared" si="8"/>
        <v>1</v>
      </c>
      <c r="J18" s="1">
        <f t="shared" si="8"/>
        <v>1</v>
      </c>
      <c r="K18" s="1" t="str">
        <f t="shared" si="8"/>
        <v>AS</v>
      </c>
      <c r="L18" s="1" t="str">
        <f t="shared" si="8"/>
        <v>AS</v>
      </c>
      <c r="M18" s="1">
        <f t="shared" si="8"/>
        <v>1</v>
      </c>
      <c r="N18" s="1" t="str">
        <f t="shared" si="8"/>
        <v>AS</v>
      </c>
      <c r="O18" s="1">
        <f t="shared" si="8"/>
        <v>1</v>
      </c>
      <c r="P18" s="1">
        <f t="shared" si="8"/>
        <v>1</v>
      </c>
      <c r="Q18" s="1">
        <f t="shared" si="8"/>
        <v>2</v>
      </c>
      <c r="R18" s="1">
        <f t="shared" si="8"/>
        <v>2</v>
      </c>
      <c r="S18" s="1">
        <f t="shared" si="8"/>
        <v>1</v>
      </c>
      <c r="T18" s="1">
        <f t="shared" si="8"/>
        <v>2</v>
      </c>
      <c r="U18" s="1">
        <f t="shared" si="8"/>
        <v>1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>🚩</v>
      </c>
      <c r="D19" s="1" t="str">
        <f t="shared" ref="D19:K19" si="9">IF(D5&lt;D7,D6,)</f>
        <v>🚩</v>
      </c>
      <c r="E19" s="1" t="str">
        <f t="shared" si="9"/>
        <v/>
      </c>
      <c r="F19" s="1" t="str">
        <f t="shared" si="9"/>
        <v/>
      </c>
      <c r="G19" s="1" t="str">
        <f t="shared" si="9"/>
        <v/>
      </c>
      <c r="H19" s="1" t="str">
        <f t="shared" si="9"/>
        <v/>
      </c>
      <c r="I19" s="1" t="str">
        <f t="shared" si="9"/>
        <v/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>🚩</v>
      </c>
      <c r="N19" s="1" t="str">
        <f t="shared" si="10"/>
        <v/>
      </c>
      <c r="O19" s="1" t="str">
        <f t="shared" si="10"/>
        <v>🚩</v>
      </c>
      <c r="P19" s="1" t="str">
        <f t="shared" si="10"/>
        <v/>
      </c>
      <c r="Q19" s="1" t="str">
        <f t="shared" si="10"/>
        <v>🧻</v>
      </c>
      <c r="R19" s="1" t="str">
        <f t="shared" si="10"/>
        <v/>
      </c>
      <c r="S19" s="1" t="str">
        <f t="shared" si="10"/>
        <v/>
      </c>
      <c r="T19" s="1" t="str">
        <f t="shared" si="10"/>
        <v>🚩</v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/>
      </c>
      <c r="E20" s="1" t="str">
        <f t="shared" si="11"/>
        <v/>
      </c>
      <c r="F20" s="1" t="str">
        <f t="shared" si="11"/>
        <v/>
      </c>
      <c r="G20" s="1" t="str">
        <f t="shared" si="11"/>
        <v/>
      </c>
      <c r="H20" s="1" t="str">
        <f t="shared" si="11"/>
        <v>🚩</v>
      </c>
      <c r="I20" s="1" t="str">
        <f t="shared" si="11"/>
        <v/>
      </c>
      <c r="J20" s="1" t="str">
        <f t="shared" si="11"/>
        <v/>
      </c>
      <c r="K20" s="1" t="str">
        <f t="shared" si="11"/>
        <v>🧻</v>
      </c>
      <c r="L20" s="1"/>
      <c r="M20" s="1" t="str">
        <f t="shared" ref="M20:U20" si="12">IF(M$5&gt;M$7,M8,)</f>
        <v/>
      </c>
      <c r="N20" s="1" t="str">
        <f t="shared" si="12"/>
        <v>🚩</v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/>
      </c>
      <c r="S20" s="1" t="str">
        <f t="shared" si="12"/>
        <v>🚩</v>
      </c>
      <c r="T20" s="1" t="str">
        <f t="shared" si="12"/>
        <v/>
      </c>
      <c r="U20" s="1" t="str">
        <f t="shared" si="12"/>
        <v>🧻</v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>
        <f>IFS(C19=$AD$4,Rules!$G$3,C19=$AD$5,Rules!$G$4,C19=$AD$6,Rules!$G$5,C19=$AD$7,Rules!$G$6,C19=$AD$8,Rules!$G$7,C19="",)</f>
        <v>1</v>
      </c>
      <c r="D22" s="1">
        <f>IFS(D19=$AD$4,Rules!$G$3,D19=$AD$5,Rules!$G$4,D19=$AD$6,Rules!$G$5,D19=$AD$7,Rules!$G$6,D19=$AD$8,Rules!$G$7,D19="",)</f>
        <v>1</v>
      </c>
      <c r="E22" s="1" t="str">
        <f>IFS(E19=$AD$4,Rules!$G$3,E19=$AD$5,Rules!$G$4,E19=$AD$6,Rules!$G$5,E19=$AD$7,Rules!$G$6,E19=$AD$8,Rules!$G$7,E19="",)</f>
        <v/>
      </c>
      <c r="F22" s="1" t="str">
        <f>IFS(F19=$AD$4,Rules!$G$3,F19=$AD$5,Rules!$G$4,F19=$AD$6,Rules!$G$5,F19=$AD$7,Rules!$G$6,F19=$AD$8,Rules!$G$7,F19="",)</f>
        <v/>
      </c>
      <c r="G22" s="1" t="str">
        <f>IFS(G19=$AD$4,Rules!$G$3,G19=$AD$5,Rules!$G$4,G19=$AD$6,Rules!$G$5,G19=$AD$7,Rules!$G$6,G19=$AD$8,Rules!$G$7,G19="",)</f>
        <v/>
      </c>
      <c r="H22" s="1" t="str">
        <f>IFS(H19=$AD$4,Rules!$G$3,H19=$AD$5,Rules!$G$4,H19=$AD$6,Rules!$G$5,H19=$AD$7,Rules!$G$6,H19=$AD$8,Rules!$G$7,H19="",)</f>
        <v/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>
        <f>IFS(M19=$AD$4,Rules!$G$3,M19=$AD$5,Rules!$G$4,M19=$AD$6,Rules!$G$5,M19=$AD$7,Rules!$G$6,M19=$AD$8,Rules!$G$7,M19="",)</f>
        <v>1</v>
      </c>
      <c r="N22" s="1" t="str">
        <f>IFS(N19=$AD$4,Rules!$G$3,N19=$AD$5,Rules!$G$4,N19=$AD$6,Rules!$G$5,N19=$AD$7,Rules!$G$6,N19=$AD$8,Rules!$G$7,N19="",)</f>
        <v/>
      </c>
      <c r="O22" s="1">
        <f>IFS(O19=$AD$4,Rules!$G$3,O19=$AD$5,Rules!$G$4,O19=$AD$6,Rules!$G$5,O19=$AD$7,Rules!$G$6,O19=$AD$8,Rules!$G$7,O19="",)</f>
        <v>1</v>
      </c>
      <c r="P22" s="1" t="str">
        <f>IFS(P19=$AD$4,Rules!$G$3,P19=$AD$5,Rules!$G$4,P19=$AD$6,Rules!$G$5,P19=$AD$7,Rules!$G$6,P19=$AD$8,Rules!$G$7,P19="",)</f>
        <v/>
      </c>
      <c r="Q22" s="1">
        <f>IFS(Q19=$AD$4,Rules!$G$3,Q19=$AD$5,Rules!$G$4,Q19=$AD$6,Rules!$G$5,Q19=$AD$7,Rules!$G$6,Q19=$AD$8,Rules!$G$7,Q19="",)</f>
        <v>1</v>
      </c>
      <c r="R22" s="1" t="str">
        <f>IFS(R19=$AD$4,Rules!$G$3,R19=$AD$5,Rules!$G$4,R19=$AD$6,Rules!$G$5,R19=$AD$7,Rules!$G$6,R19=$AD$8,Rules!$G$7,R19="",)</f>
        <v/>
      </c>
      <c r="S22" s="1" t="str">
        <f>IFS(S19=$AD$4,Rules!$G$3,S19=$AD$5,Rules!$G$4,S19=$AD$6,Rules!$G$5,S19=$AD$7,Rules!$G$6,S19=$AD$8,Rules!$G$7,S19="",)</f>
        <v/>
      </c>
      <c r="T22" s="1">
        <f>IFS(T19=$AD$4,Rules!$G$3,T19=$AD$5,Rules!$G$4,T19=$AD$6,Rules!$G$5,T19=$AD$7,Rules!$G$6,T19=$AD$8,Rules!$G$7,T19="",)</f>
        <v>1</v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 t="str">
        <f>IFS(F20=$AD$4,Rules!$G$3,F20=$AD$5,Rules!$G$4,F20=$AD$6,Rules!$G$5,F20=$AD$7,Rules!$G$6,F20=$AD$8,Rules!$G$7,F20="",)</f>
        <v/>
      </c>
      <c r="G23" s="1" t="str">
        <f>IFS(G20=$AD$4,Rules!$G$3,G20=$AD$5,Rules!$G$4,G20=$AD$6,Rules!$G$5,G20=$AD$7,Rules!$G$6,G20=$AD$8,Rules!$G$7,G20="",)</f>
        <v/>
      </c>
      <c r="H23" s="1">
        <f>IFS(H20=$AD$4,Rules!$G$3,H20=$AD$5,Rules!$G$4,H20=$AD$6,Rules!$G$5,H20=$AD$7,Rules!$G$6,H20=$AD$8,Rules!$G$7,H20="",)</f>
        <v>1</v>
      </c>
      <c r="I23" s="1" t="str">
        <f>IFS(I20=$AD$4,Rules!$G$3,I20=$AD$5,Rules!$G$4,I20=$AD$6,Rules!$G$5,I20=$AD$7,Rules!$G$6,I20=$AD$8,Rules!$G$7,I20="",)</f>
        <v/>
      </c>
      <c r="J23" s="1" t="str">
        <f>IFS(J20=$AD$4,Rules!$G$3,J20=$AD$5,Rules!$G$4,J20=$AD$6,Rules!$G$5,J20=$AD$7,Rules!$G$6,J20=$AD$8,Rules!$G$7,J20="",)</f>
        <v/>
      </c>
      <c r="K23" s="1">
        <f>IFS(K20=$AD$4,Rules!$G$3,K20=$AD$5,Rules!$G$4,K20=$AD$6,Rules!$G$5,K20=$AD$7,Rules!$G$6,K20=$AD$8,Rules!$G$7,K20="",)</f>
        <v>1</v>
      </c>
      <c r="L23" s="1"/>
      <c r="M23" s="1" t="str">
        <f>IFS(M20=$AD$4,Rules!$G$3,M20=$AD$5,Rules!$G$4,M20=$AD$6,Rules!$G$5,M20=$AD$7,Rules!$G$6,M20=$AD$8,Rules!$G$7,M20="",)</f>
        <v/>
      </c>
      <c r="N23" s="1">
        <f>IFS(N20=$AD$4,Rules!$G$3,N20=$AD$5,Rules!$G$4,N20=$AD$6,Rules!$G$5,N20=$AD$7,Rules!$G$6,N20=$AD$8,Rules!$G$7,N20="",)</f>
        <v>1</v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>
        <f>IFS(S20=$AD$4,Rules!$G$3,S20=$AD$5,Rules!$G$4,S20=$AD$6,Rules!$G$5,S20=$AD$7,Rules!$G$6,S20=$AD$8,Rules!$G$7,S20="",)</f>
        <v>1</v>
      </c>
      <c r="T23" s="1" t="str">
        <f>IFS(T20=$AD$4,Rules!$G$3,T20=$AD$5,Rules!$G$4,T20=$AD$6,Rules!$G$5,T20=$AD$7,Rules!$G$6,T20=$AD$8,Rules!$G$7,T20="",)</f>
        <v/>
      </c>
      <c r="U23" s="1">
        <f>IFS(U20=$AD$4,Rules!$G$3,U20=$AD$5,Rules!$G$4,U20=$AD$6,Rules!$G$5,U20=$AD$7,Rules!$G$6,U20=$AD$8,Rules!$G$7,U20="",)</f>
        <v>1</v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>
        <f t="shared" ref="C24:C25" si="14">C22</f>
        <v>1</v>
      </c>
      <c r="D24" s="1">
        <f t="shared" ref="D24:U24" si="13">D22+C24</f>
        <v>2</v>
      </c>
      <c r="E24" s="1">
        <f t="shared" si="13"/>
        <v>2</v>
      </c>
      <c r="F24" s="1">
        <f t="shared" si="13"/>
        <v>2</v>
      </c>
      <c r="G24" s="1">
        <f t="shared" si="13"/>
        <v>2</v>
      </c>
      <c r="H24" s="1">
        <f t="shared" si="13"/>
        <v>2</v>
      </c>
      <c r="I24" s="1">
        <f t="shared" si="13"/>
        <v>2</v>
      </c>
      <c r="J24" s="1">
        <f t="shared" si="13"/>
        <v>2</v>
      </c>
      <c r="K24" s="1">
        <f t="shared" si="13"/>
        <v>2</v>
      </c>
      <c r="L24" s="1">
        <f t="shared" si="13"/>
        <v>2</v>
      </c>
      <c r="M24" s="1">
        <f t="shared" si="13"/>
        <v>3</v>
      </c>
      <c r="N24" s="1">
        <f t="shared" si="13"/>
        <v>3</v>
      </c>
      <c r="O24" s="1">
        <f t="shared" si="13"/>
        <v>4</v>
      </c>
      <c r="P24" s="1">
        <f t="shared" si="13"/>
        <v>4</v>
      </c>
      <c r="Q24" s="1">
        <f t="shared" si="13"/>
        <v>5</v>
      </c>
      <c r="R24" s="1">
        <f t="shared" si="13"/>
        <v>5</v>
      </c>
      <c r="S24" s="1">
        <f t="shared" si="13"/>
        <v>5</v>
      </c>
      <c r="T24" s="1">
        <f t="shared" si="13"/>
        <v>6</v>
      </c>
      <c r="U24" s="1">
        <f t="shared" si="13"/>
        <v>6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0</v>
      </c>
      <c r="E25" s="1">
        <f t="shared" si="15"/>
        <v>0</v>
      </c>
      <c r="F25" s="1">
        <f t="shared" si="15"/>
        <v>0</v>
      </c>
      <c r="G25" s="1">
        <f t="shared" si="15"/>
        <v>0</v>
      </c>
      <c r="H25" s="1">
        <f t="shared" si="15"/>
        <v>1</v>
      </c>
      <c r="I25" s="1">
        <f t="shared" si="15"/>
        <v>1</v>
      </c>
      <c r="J25" s="1">
        <f t="shared" si="15"/>
        <v>1</v>
      </c>
      <c r="K25" s="1">
        <f t="shared" si="15"/>
        <v>2</v>
      </c>
      <c r="L25" s="1">
        <f t="shared" si="15"/>
        <v>2</v>
      </c>
      <c r="M25" s="1">
        <f t="shared" si="15"/>
        <v>2</v>
      </c>
      <c r="N25" s="1">
        <f t="shared" si="15"/>
        <v>3</v>
      </c>
      <c r="O25" s="1">
        <f t="shared" si="15"/>
        <v>3</v>
      </c>
      <c r="P25" s="1">
        <f t="shared" si="15"/>
        <v>3</v>
      </c>
      <c r="Q25" s="1">
        <f t="shared" si="15"/>
        <v>3</v>
      </c>
      <c r="R25" s="1">
        <f t="shared" si="15"/>
        <v>3</v>
      </c>
      <c r="S25" s="1">
        <f t="shared" si="15"/>
        <v>4</v>
      </c>
      <c r="T25" s="1">
        <f t="shared" si="15"/>
        <v>4</v>
      </c>
      <c r="U25" s="1">
        <f t="shared" si="15"/>
        <v>5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53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1">
        <v>46145.0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5.0</v>
      </c>
      <c r="AE3" s="93" t="str">
        <f>Rules!J3</f>
        <v>Trey</v>
      </c>
    </row>
    <row r="4">
      <c r="A4" s="8"/>
      <c r="B4" s="89" t="s">
        <v>18</v>
      </c>
      <c r="C4" s="37">
        <v>5.0</v>
      </c>
      <c r="D4" s="37">
        <v>3.0</v>
      </c>
      <c r="E4" s="37">
        <v>4.0</v>
      </c>
      <c r="F4" s="37">
        <v>4.0</v>
      </c>
      <c r="G4" s="37">
        <v>4.0</v>
      </c>
      <c r="H4" s="37">
        <v>3.0</v>
      </c>
      <c r="I4" s="37">
        <v>5.0</v>
      </c>
      <c r="J4" s="37">
        <v>3.0</v>
      </c>
      <c r="K4" s="37">
        <v>4.0</v>
      </c>
      <c r="L4" s="94">
        <f t="shared" ref="L4:L5" si="1">SUM(C4:K4)</f>
        <v>35</v>
      </c>
      <c r="M4" s="37">
        <v>4.0</v>
      </c>
      <c r="N4" s="37">
        <v>4.0</v>
      </c>
      <c r="O4" s="37">
        <v>5.0</v>
      </c>
      <c r="P4" s="37">
        <v>4.0</v>
      </c>
      <c r="Q4" s="37">
        <v>3.0</v>
      </c>
      <c r="R4" s="37">
        <v>4.0</v>
      </c>
      <c r="S4" s="37">
        <v>4.0</v>
      </c>
      <c r="T4" s="37">
        <v>4.0</v>
      </c>
      <c r="U4" s="37">
        <v>4.0</v>
      </c>
      <c r="V4" s="94">
        <f t="shared" ref="V4:V5" si="2">SUM(M4:U4)</f>
        <v>36</v>
      </c>
      <c r="W4" s="95">
        <f t="shared" ref="W4:W5" si="3">SUM(L4+V4)</f>
        <v>71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4.0</v>
      </c>
      <c r="D5" s="97">
        <v>5.0</v>
      </c>
      <c r="E5" s="97">
        <v>5.0</v>
      </c>
      <c r="F5" s="97">
        <v>4.0</v>
      </c>
      <c r="G5" s="97">
        <v>5.0</v>
      </c>
      <c r="H5" s="97">
        <v>3.0</v>
      </c>
      <c r="I5" s="97">
        <v>6.0</v>
      </c>
      <c r="J5" s="97">
        <v>2.0</v>
      </c>
      <c r="K5" s="97">
        <v>4.0</v>
      </c>
      <c r="L5" s="98">
        <f t="shared" si="1"/>
        <v>38</v>
      </c>
      <c r="M5" s="97">
        <v>5.0</v>
      </c>
      <c r="N5" s="97">
        <v>6.0</v>
      </c>
      <c r="O5" s="97">
        <v>5.0</v>
      </c>
      <c r="P5" s="97">
        <v>5.0</v>
      </c>
      <c r="Q5" s="97">
        <v>3.0</v>
      </c>
      <c r="R5" s="97">
        <v>4.0</v>
      </c>
      <c r="S5" s="97">
        <v>6.0</v>
      </c>
      <c r="T5" s="97">
        <v>5.0</v>
      </c>
      <c r="U5" s="97">
        <v>6.0</v>
      </c>
      <c r="V5" s="98">
        <f t="shared" si="2"/>
        <v>45</v>
      </c>
      <c r="W5" s="99">
        <f t="shared" si="3"/>
        <v>83</v>
      </c>
      <c r="X5" s="100" t="str">
        <f>IFS(W5&gt;$W$4,"+",$W$4&gt;W5,"")</f>
        <v>+</v>
      </c>
      <c r="Y5" s="100">
        <f>W5-$W$4</f>
        <v>12</v>
      </c>
      <c r="Z5" s="101" t="str">
        <f>X5&amp;Y5</f>
        <v>+12</v>
      </c>
      <c r="AA5" s="1"/>
      <c r="AB5" s="16" t="s">
        <v>41</v>
      </c>
      <c r="AC5" s="44">
        <f>COUNTIF($C$6:$U$6,"🐥")</f>
        <v>2</v>
      </c>
      <c r="AD5" s="17" t="s">
        <v>15</v>
      </c>
      <c r="AE5" s="68">
        <f>COUNTIF($C$8:$U$8,"🐥")</f>
        <v>1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🐥</v>
      </c>
      <c r="D6" s="103" t="str">
        <f t="shared" si="4"/>
        <v>💩</v>
      </c>
      <c r="E6" s="103" t="str">
        <f t="shared" si="4"/>
        <v>🧻</v>
      </c>
      <c r="F6" s="103" t="str">
        <f t="shared" si="4"/>
        <v>🚩</v>
      </c>
      <c r="G6" s="103" t="str">
        <f t="shared" si="4"/>
        <v>🧻</v>
      </c>
      <c r="H6" s="103" t="str">
        <f t="shared" si="4"/>
        <v>🚩</v>
      </c>
      <c r="I6" s="103" t="str">
        <f t="shared" si="4"/>
        <v>🧻</v>
      </c>
      <c r="J6" s="103" t="str">
        <f t="shared" si="4"/>
        <v>🐥</v>
      </c>
      <c r="K6" s="103" t="str">
        <f t="shared" si="4"/>
        <v>🚩</v>
      </c>
      <c r="L6" s="104"/>
      <c r="M6" s="103" t="str">
        <f t="shared" ref="M6:U6" si="5">IFS(M$4-M5=1,$AD$5,M$4-M5=2,$AD$4,M$4=M5,$AD$6,M$4-M5=-1,$AD$7,M$4-M5=-2,$AD$8,M$4-M5=-3,$AD$9)</f>
        <v>🧻</v>
      </c>
      <c r="N6" s="103" t="str">
        <f t="shared" si="5"/>
        <v>💩</v>
      </c>
      <c r="O6" s="103" t="str">
        <f t="shared" si="5"/>
        <v>🚩</v>
      </c>
      <c r="P6" s="103" t="str">
        <f t="shared" si="5"/>
        <v>🧻</v>
      </c>
      <c r="Q6" s="103" t="str">
        <f t="shared" si="5"/>
        <v>🚩</v>
      </c>
      <c r="R6" s="103" t="str">
        <f t="shared" si="5"/>
        <v>🚩</v>
      </c>
      <c r="S6" s="103" t="str">
        <f t="shared" si="5"/>
        <v>💩</v>
      </c>
      <c r="T6" s="103" t="str">
        <f t="shared" si="5"/>
        <v>🧻</v>
      </c>
      <c r="U6" s="103" t="str">
        <f t="shared" si="5"/>
        <v>💩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6</v>
      </c>
      <c r="AD6" s="17" t="s">
        <v>19</v>
      </c>
      <c r="AE6" s="68">
        <f>COUNTIF($C$8:$U$8,"🚩")</f>
        <v>9</v>
      </c>
    </row>
    <row r="7">
      <c r="A7" s="8"/>
      <c r="B7" s="107" t="str">
        <f>AE3</f>
        <v>Trey</v>
      </c>
      <c r="C7" s="97">
        <v>6.0</v>
      </c>
      <c r="D7" s="97">
        <v>4.0</v>
      </c>
      <c r="E7" s="97">
        <v>4.0</v>
      </c>
      <c r="F7" s="97">
        <v>6.0</v>
      </c>
      <c r="G7" s="97">
        <v>3.0</v>
      </c>
      <c r="H7" s="97">
        <v>3.0</v>
      </c>
      <c r="I7" s="97">
        <v>5.0</v>
      </c>
      <c r="J7" s="97">
        <v>3.0</v>
      </c>
      <c r="K7" s="97">
        <v>4.0</v>
      </c>
      <c r="L7" s="98">
        <f>SUM(C7:K7)</f>
        <v>38</v>
      </c>
      <c r="M7" s="97">
        <v>5.0</v>
      </c>
      <c r="N7" s="97">
        <v>4.0</v>
      </c>
      <c r="O7" s="97">
        <v>5.0</v>
      </c>
      <c r="P7" s="97">
        <v>6.0</v>
      </c>
      <c r="Q7" s="97">
        <v>3.0</v>
      </c>
      <c r="R7" s="97">
        <v>5.0</v>
      </c>
      <c r="S7" s="97">
        <v>7.0</v>
      </c>
      <c r="T7" s="97">
        <v>4.0</v>
      </c>
      <c r="U7" s="97">
        <v>5.0</v>
      </c>
      <c r="V7" s="98">
        <f>SUM(M7:U7)</f>
        <v>44</v>
      </c>
      <c r="W7" s="99">
        <f>SUM(L7+V7)</f>
        <v>82</v>
      </c>
      <c r="X7" s="100" t="str">
        <f>IFS(W7&gt;$W$4,"+",$W$4&gt;W7,"")</f>
        <v>+</v>
      </c>
      <c r="Y7" s="100">
        <f>W7-$W$4</f>
        <v>11</v>
      </c>
      <c r="Z7" s="101" t="str">
        <f>X7&amp;Y7</f>
        <v>+11</v>
      </c>
      <c r="AB7" s="16" t="s">
        <v>43</v>
      </c>
      <c r="AC7" s="44">
        <f>COUNTIF($C$6:$U$6,"🧻")</f>
        <v>6</v>
      </c>
      <c r="AD7" s="17" t="s">
        <v>23</v>
      </c>
      <c r="AE7" s="68">
        <f>COUNTIF($C$8:$U$8,"🧻")</f>
        <v>5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🧻</v>
      </c>
      <c r="E8" s="80" t="str">
        <f t="shared" si="6"/>
        <v>🚩</v>
      </c>
      <c r="F8" s="80" t="str">
        <f t="shared" si="6"/>
        <v>💩</v>
      </c>
      <c r="G8" s="80" t="str">
        <f t="shared" si="6"/>
        <v>🐥</v>
      </c>
      <c r="H8" s="80" t="str">
        <f t="shared" si="6"/>
        <v>🚩</v>
      </c>
      <c r="I8" s="80" t="str">
        <f t="shared" si="6"/>
        <v>🚩</v>
      </c>
      <c r="J8" s="80" t="str">
        <f t="shared" si="6"/>
        <v>🚩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🧻</v>
      </c>
      <c r="N8" s="80" t="str">
        <f t="shared" si="7"/>
        <v>🚩</v>
      </c>
      <c r="O8" s="80" t="str">
        <f t="shared" si="7"/>
        <v>🚩</v>
      </c>
      <c r="P8" s="80" t="str">
        <f t="shared" si="7"/>
        <v>💩</v>
      </c>
      <c r="Q8" s="80" t="str">
        <f t="shared" si="7"/>
        <v>🚩</v>
      </c>
      <c r="R8" s="80" t="str">
        <f t="shared" si="7"/>
        <v>🧻</v>
      </c>
      <c r="S8" s="80" t="str">
        <f t="shared" si="7"/>
        <v>☠️</v>
      </c>
      <c r="T8" s="80" t="str">
        <f t="shared" si="7"/>
        <v>🚩</v>
      </c>
      <c r="U8" s="80" t="str">
        <f t="shared" si="7"/>
        <v>🧻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4</v>
      </c>
      <c r="AD8" s="17" t="s">
        <v>27</v>
      </c>
      <c r="AE8" s="68">
        <f>COUNTIF($C$8:$U$8,"💩")</f>
        <v>2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1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6</v>
      </c>
      <c r="AD10" s="113"/>
      <c r="AE10" s="114">
        <f>Count(C23:U23)</f>
        <v>7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7.5</v>
      </c>
      <c r="AD11" s="80"/>
      <c r="AE11" s="112">
        <f>U25</f>
        <v>8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0.5</v>
      </c>
      <c r="AE12" s="120">
        <f>AD12*AD3</f>
        <v>2.5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2</v>
      </c>
      <c r="D18" s="1">
        <f t="shared" si="8"/>
        <v>1</v>
      </c>
      <c r="E18" s="1" t="str">
        <f t="shared" si="8"/>
        <v>AS</v>
      </c>
      <c r="F18" s="1">
        <f t="shared" si="8"/>
        <v>1</v>
      </c>
      <c r="G18" s="1">
        <f t="shared" si="8"/>
        <v>1</v>
      </c>
      <c r="H18" s="1">
        <f t="shared" si="8"/>
        <v>1</v>
      </c>
      <c r="I18" s="1">
        <f t="shared" si="8"/>
        <v>2</v>
      </c>
      <c r="J18" s="1" t="str">
        <f t="shared" si="8"/>
        <v>AS</v>
      </c>
      <c r="K18" s="1" t="str">
        <f t="shared" si="8"/>
        <v>AS</v>
      </c>
      <c r="L18" s="1" t="str">
        <f t="shared" si="8"/>
        <v>AS</v>
      </c>
      <c r="M18" s="1" t="str">
        <f t="shared" si="8"/>
        <v>AS</v>
      </c>
      <c r="N18" s="1">
        <f t="shared" si="8"/>
        <v>1</v>
      </c>
      <c r="O18" s="1">
        <f t="shared" si="8"/>
        <v>1</v>
      </c>
      <c r="P18" s="1" t="str">
        <f t="shared" si="8"/>
        <v>AS</v>
      </c>
      <c r="Q18" s="1" t="str">
        <f t="shared" si="8"/>
        <v>AS</v>
      </c>
      <c r="R18" s="1">
        <f t="shared" si="8"/>
        <v>1</v>
      </c>
      <c r="S18" s="1">
        <f t="shared" si="8"/>
        <v>1.5</v>
      </c>
      <c r="T18" s="1">
        <f t="shared" si="8"/>
        <v>0.5</v>
      </c>
      <c r="U18" s="1">
        <f t="shared" si="8"/>
        <v>0.5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>🐥</v>
      </c>
      <c r="D19" s="1" t="str">
        <f t="shared" ref="D19:K19" si="9">IF(D5&lt;D7,D6,)</f>
        <v/>
      </c>
      <c r="E19" s="1" t="str">
        <f t="shared" si="9"/>
        <v/>
      </c>
      <c r="F19" s="1" t="str">
        <f t="shared" si="9"/>
        <v>🚩</v>
      </c>
      <c r="G19" s="1" t="str">
        <f t="shared" si="9"/>
        <v/>
      </c>
      <c r="H19" s="1" t="str">
        <f t="shared" si="9"/>
        <v/>
      </c>
      <c r="I19" s="1" t="str">
        <f t="shared" si="9"/>
        <v/>
      </c>
      <c r="J19" s="1" t="str">
        <f t="shared" si="9"/>
        <v>🐥</v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/>
      </c>
      <c r="P19" s="1" t="str">
        <f t="shared" si="10"/>
        <v>🧻</v>
      </c>
      <c r="Q19" s="1" t="str">
        <f t="shared" si="10"/>
        <v/>
      </c>
      <c r="R19" s="1" t="str">
        <f t="shared" si="10"/>
        <v>🚩</v>
      </c>
      <c r="S19" s="1" t="str">
        <f t="shared" si="10"/>
        <v>💩</v>
      </c>
      <c r="T19" s="1" t="str">
        <f t="shared" si="10"/>
        <v/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>🧻</v>
      </c>
      <c r="E20" s="1" t="str">
        <f t="shared" si="11"/>
        <v>🚩</v>
      </c>
      <c r="F20" s="1" t="str">
        <f t="shared" si="11"/>
        <v/>
      </c>
      <c r="G20" s="1" t="str">
        <f t="shared" si="11"/>
        <v>🐥</v>
      </c>
      <c r="H20" s="1" t="str">
        <f t="shared" si="11"/>
        <v/>
      </c>
      <c r="I20" s="1" t="str">
        <f t="shared" si="11"/>
        <v>🚩</v>
      </c>
      <c r="J20" s="1" t="str">
        <f t="shared" si="11"/>
        <v/>
      </c>
      <c r="K20" s="1" t="str">
        <f t="shared" si="11"/>
        <v/>
      </c>
      <c r="L20" s="1"/>
      <c r="M20" s="1" t="str">
        <f t="shared" ref="M20:U20" si="12">IF(M$5&gt;M$7,M8,)</f>
        <v/>
      </c>
      <c r="N20" s="1" t="str">
        <f t="shared" si="12"/>
        <v>🚩</v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/>
      </c>
      <c r="S20" s="1" t="str">
        <f t="shared" si="12"/>
        <v/>
      </c>
      <c r="T20" s="1" t="str">
        <f t="shared" si="12"/>
        <v>🚩</v>
      </c>
      <c r="U20" s="1" t="str">
        <f t="shared" si="12"/>
        <v>🧻</v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>
        <f>IFS(C19=$AD$4,Rules!$G$3,C19=$AD$5,Rules!$G$4,C19=$AD$6,Rules!$G$5,C19=$AD$7,Rules!$G$6,C19=$AD$8,Rules!$G$7,C19="",)</f>
        <v>2</v>
      </c>
      <c r="D22" s="1" t="str">
        <f>IFS(D19=$AD$4,Rules!$G$3,D19=$AD$5,Rules!$G$4,D19=$AD$6,Rules!$G$5,D19=$AD$7,Rules!$G$6,D19=$AD$8,Rules!$G$7,D19="",)</f>
        <v/>
      </c>
      <c r="E22" s="1" t="str">
        <f>IFS(E19=$AD$4,Rules!$G$3,E19=$AD$5,Rules!$G$4,E19=$AD$6,Rules!$G$5,E19=$AD$7,Rules!$G$6,E19=$AD$8,Rules!$G$7,E19="",)</f>
        <v/>
      </c>
      <c r="F22" s="1">
        <f>IFS(F19=$AD$4,Rules!$G$3,F19=$AD$5,Rules!$G$4,F19=$AD$6,Rules!$G$5,F19=$AD$7,Rules!$G$6,F19=$AD$8,Rules!$G$7,F19="",)</f>
        <v>1</v>
      </c>
      <c r="G22" s="1" t="str">
        <f>IFS(G19=$AD$4,Rules!$G$3,G19=$AD$5,Rules!$G$4,G19=$AD$6,Rules!$G$5,G19=$AD$7,Rules!$G$6,G19=$AD$8,Rules!$G$7,G19="",)</f>
        <v/>
      </c>
      <c r="H22" s="1" t="str">
        <f>IFS(H19=$AD$4,Rules!$G$3,H19=$AD$5,Rules!$G$4,H19=$AD$6,Rules!$G$5,H19=$AD$7,Rules!$G$6,H19=$AD$8,Rules!$G$7,H19="",)</f>
        <v/>
      </c>
      <c r="I22" s="1" t="str">
        <f>IFS(I19=$AD$4,Rules!$G$3,I19=$AD$5,Rules!$G$4,I19=$AD$6,Rules!$G$5,I19=$AD$7,Rules!$G$6,I19=$AD$8,Rules!$G$7,I19="",)</f>
        <v/>
      </c>
      <c r="J22" s="1">
        <f>IFS(J19=$AD$4,Rules!$G$3,J19=$AD$5,Rules!$G$4,J19=$AD$6,Rules!$G$5,J19=$AD$7,Rules!$G$6,J19=$AD$8,Rules!$G$7,J19="",)</f>
        <v>2</v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 t="str">
        <f>IFS(O19=$AD$4,Rules!$G$3,O19=$AD$5,Rules!$G$4,O19=$AD$6,Rules!$G$5,O19=$AD$7,Rules!$G$6,O19=$AD$8,Rules!$G$7,O19="",)</f>
        <v/>
      </c>
      <c r="P22" s="1">
        <f>IFS(P19=$AD$4,Rules!$G$3,P19=$AD$5,Rules!$G$4,P19=$AD$6,Rules!$G$5,P19=$AD$7,Rules!$G$6,P19=$AD$8,Rules!$G$7,P19="",)</f>
        <v>1</v>
      </c>
      <c r="Q22" s="1" t="str">
        <f>IFS(Q19=$AD$4,Rules!$G$3,Q19=$AD$5,Rules!$G$4,Q19=$AD$6,Rules!$G$5,Q19=$AD$7,Rules!$G$6,Q19=$AD$8,Rules!$G$7,Q19="",)</f>
        <v/>
      </c>
      <c r="R22" s="1">
        <f>IFS(R19=$AD$4,Rules!$G$3,R19=$AD$5,Rules!$G$4,R19=$AD$6,Rules!$G$5,R19=$AD$7,Rules!$G$6,R19=$AD$8,Rules!$G$7,R19="",)</f>
        <v>1</v>
      </c>
      <c r="S22" s="1">
        <f>IFS(S19=$AD$4,Rules!$G$3,S19=$AD$5,Rules!$G$4,S19=$AD$6,Rules!$G$5,S19=$AD$7,Rules!$G$6,S19=$AD$8,Rules!$G$7,S19="",)</f>
        <v>0.5</v>
      </c>
      <c r="T22" s="1" t="str">
        <f>IFS(T19=$AD$4,Rules!$G$3,T19=$AD$5,Rules!$G$4,T19=$AD$6,Rules!$G$5,T19=$AD$7,Rules!$G$6,T19=$AD$8,Rules!$G$7,T19="",)</f>
        <v/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>
        <f>IFS(D20=$AD$4,Rules!$G$3,D20=$AD$5,Rules!$G$4,D20=$AD$6,Rules!$G$5,D20=$AD$7,Rules!$G$6,D20=$AD$8,Rules!$G$7,D20="",)</f>
        <v>1</v>
      </c>
      <c r="E23" s="1">
        <f>IFS(E20=$AD$4,Rules!$G$3,E20=$AD$5,Rules!$G$4,E20=$AD$6,Rules!$G$5,E20=$AD$7,Rules!$G$6,E20=$AD$8,Rules!$G$7,E20="",)</f>
        <v>1</v>
      </c>
      <c r="F23" s="1" t="str">
        <f>IFS(F20=$AD$4,Rules!$G$3,F20=$AD$5,Rules!$G$4,F20=$AD$6,Rules!$G$5,F20=$AD$7,Rules!$G$6,F20=$AD$8,Rules!$G$7,F20="",)</f>
        <v/>
      </c>
      <c r="G23" s="1">
        <f>IFS(G20=$AD$4,Rules!$G$3,G20=$AD$5,Rules!$G$4,G20=$AD$6,Rules!$G$5,G20=$AD$7,Rules!$G$6,G20=$AD$8,Rules!$G$7,G20="",)</f>
        <v>2</v>
      </c>
      <c r="H23" s="1" t="str">
        <f>IFS(H20=$AD$4,Rules!$G$3,H20=$AD$5,Rules!$G$4,H20=$AD$6,Rules!$G$5,H20=$AD$7,Rules!$G$6,H20=$AD$8,Rules!$G$7,H20="",)</f>
        <v/>
      </c>
      <c r="I23" s="1">
        <f>IFS(I20=$AD$4,Rules!$G$3,I20=$AD$5,Rules!$G$4,I20=$AD$6,Rules!$G$5,I20=$AD$7,Rules!$G$6,I20=$AD$8,Rules!$G$7,I20="",)</f>
        <v>1</v>
      </c>
      <c r="J23" s="1" t="str">
        <f>IFS(J20=$AD$4,Rules!$G$3,J20=$AD$5,Rules!$G$4,J20=$AD$6,Rules!$G$5,J20=$AD$7,Rules!$G$6,J20=$AD$8,Rules!$G$7,J20="",)</f>
        <v/>
      </c>
      <c r="K23" s="1" t="str">
        <f>IFS(K20=$AD$4,Rules!$G$3,K20=$AD$5,Rules!$G$4,K20=$AD$6,Rules!$G$5,K20=$AD$7,Rules!$G$6,K20=$AD$8,Rules!$G$7,K20="",)</f>
        <v/>
      </c>
      <c r="L23" s="1"/>
      <c r="M23" s="1" t="str">
        <f>IFS(M20=$AD$4,Rules!$G$3,M20=$AD$5,Rules!$G$4,M20=$AD$6,Rules!$G$5,M20=$AD$7,Rules!$G$6,M20=$AD$8,Rules!$G$7,M20="",)</f>
        <v/>
      </c>
      <c r="N23" s="1">
        <f>IFS(N20=$AD$4,Rules!$G$3,N20=$AD$5,Rules!$G$4,N20=$AD$6,Rules!$G$5,N20=$AD$7,Rules!$G$6,N20=$AD$8,Rules!$G$7,N20="",)</f>
        <v>1</v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 t="str">
        <f>IFS(S20=$AD$4,Rules!$G$3,S20=$AD$5,Rules!$G$4,S20=$AD$6,Rules!$G$5,S20=$AD$7,Rules!$G$6,S20=$AD$8,Rules!$G$7,S20="",)</f>
        <v/>
      </c>
      <c r="T23" s="1">
        <f>IFS(T20=$AD$4,Rules!$G$3,T20=$AD$5,Rules!$G$4,T20=$AD$6,Rules!$G$5,T20=$AD$7,Rules!$G$6,T20=$AD$8,Rules!$G$7,T20="",)</f>
        <v>1</v>
      </c>
      <c r="U23" s="1">
        <f>IFS(U20=$AD$4,Rules!$G$3,U20=$AD$5,Rules!$G$4,U20=$AD$6,Rules!$G$5,U20=$AD$7,Rules!$G$6,U20=$AD$8,Rules!$G$7,U20="",)</f>
        <v>1</v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>
        <f t="shared" ref="C24:C25" si="14">C22</f>
        <v>2</v>
      </c>
      <c r="D24" s="1">
        <f t="shared" ref="D24:U24" si="13">D22+C24</f>
        <v>2</v>
      </c>
      <c r="E24" s="1">
        <f t="shared" si="13"/>
        <v>2</v>
      </c>
      <c r="F24" s="1">
        <f t="shared" si="13"/>
        <v>3</v>
      </c>
      <c r="G24" s="1">
        <f t="shared" si="13"/>
        <v>3</v>
      </c>
      <c r="H24" s="1">
        <f t="shared" si="13"/>
        <v>3</v>
      </c>
      <c r="I24" s="1">
        <f t="shared" si="13"/>
        <v>3</v>
      </c>
      <c r="J24" s="1">
        <f t="shared" si="13"/>
        <v>5</v>
      </c>
      <c r="K24" s="1">
        <f t="shared" si="13"/>
        <v>5</v>
      </c>
      <c r="L24" s="1">
        <f t="shared" si="13"/>
        <v>5</v>
      </c>
      <c r="M24" s="1">
        <f t="shared" si="13"/>
        <v>5</v>
      </c>
      <c r="N24" s="1">
        <f t="shared" si="13"/>
        <v>5</v>
      </c>
      <c r="O24" s="1">
        <f t="shared" si="13"/>
        <v>5</v>
      </c>
      <c r="P24" s="1">
        <f t="shared" si="13"/>
        <v>6</v>
      </c>
      <c r="Q24" s="1">
        <f t="shared" si="13"/>
        <v>6</v>
      </c>
      <c r="R24" s="1">
        <f t="shared" si="13"/>
        <v>7</v>
      </c>
      <c r="S24" s="1">
        <f t="shared" si="13"/>
        <v>7.5</v>
      </c>
      <c r="T24" s="1">
        <f t="shared" si="13"/>
        <v>7.5</v>
      </c>
      <c r="U24" s="1">
        <f t="shared" si="13"/>
        <v>7.5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1</v>
      </c>
      <c r="E25" s="1">
        <f t="shared" si="15"/>
        <v>2</v>
      </c>
      <c r="F25" s="1">
        <f t="shared" si="15"/>
        <v>2</v>
      </c>
      <c r="G25" s="1">
        <f t="shared" si="15"/>
        <v>4</v>
      </c>
      <c r="H25" s="1">
        <f t="shared" si="15"/>
        <v>4</v>
      </c>
      <c r="I25" s="1">
        <f t="shared" si="15"/>
        <v>5</v>
      </c>
      <c r="J25" s="1">
        <f t="shared" si="15"/>
        <v>5</v>
      </c>
      <c r="K25" s="1">
        <f t="shared" si="15"/>
        <v>5</v>
      </c>
      <c r="L25" s="1">
        <f t="shared" si="15"/>
        <v>5</v>
      </c>
      <c r="M25" s="1">
        <f t="shared" si="15"/>
        <v>5</v>
      </c>
      <c r="N25" s="1">
        <f t="shared" si="15"/>
        <v>6</v>
      </c>
      <c r="O25" s="1">
        <f t="shared" si="15"/>
        <v>6</v>
      </c>
      <c r="P25" s="1">
        <f t="shared" si="15"/>
        <v>6</v>
      </c>
      <c r="Q25" s="1">
        <f t="shared" si="15"/>
        <v>6</v>
      </c>
      <c r="R25" s="1">
        <f t="shared" si="15"/>
        <v>6</v>
      </c>
      <c r="S25" s="1">
        <f t="shared" si="15"/>
        <v>6</v>
      </c>
      <c r="T25" s="1">
        <f t="shared" si="15"/>
        <v>7</v>
      </c>
      <c r="U25" s="1">
        <f t="shared" si="15"/>
        <v>8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56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1">
        <v>46138.0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3.0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4.0</v>
      </c>
      <c r="E4" s="37">
        <v>3.0</v>
      </c>
      <c r="F4" s="37">
        <v>5.0</v>
      </c>
      <c r="G4" s="37">
        <v>4.0</v>
      </c>
      <c r="H4" s="37">
        <v>3.0</v>
      </c>
      <c r="I4" s="37">
        <v>4.0</v>
      </c>
      <c r="J4" s="37">
        <v>5.0</v>
      </c>
      <c r="K4" s="37">
        <v>4.0</v>
      </c>
      <c r="L4" s="94">
        <f t="shared" ref="L4:L5" si="1">SUM(C4:K4)</f>
        <v>36</v>
      </c>
      <c r="M4" s="37">
        <v>4.0</v>
      </c>
      <c r="N4" s="37">
        <v>5.0</v>
      </c>
      <c r="O4" s="37">
        <v>3.0</v>
      </c>
      <c r="P4" s="37">
        <v>4.0</v>
      </c>
      <c r="Q4" s="37">
        <v>5.0</v>
      </c>
      <c r="R4" s="37">
        <v>3.0</v>
      </c>
      <c r="S4" s="37">
        <v>4.0</v>
      </c>
      <c r="T4" s="37">
        <v>4.0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4.0</v>
      </c>
      <c r="D5" s="97">
        <v>5.0</v>
      </c>
      <c r="E5" s="97">
        <v>3.0</v>
      </c>
      <c r="F5" s="97">
        <v>4.0</v>
      </c>
      <c r="G5" s="97">
        <v>6.0</v>
      </c>
      <c r="H5" s="97">
        <v>3.0</v>
      </c>
      <c r="I5" s="97">
        <v>5.0</v>
      </c>
      <c r="J5" s="97">
        <v>6.0</v>
      </c>
      <c r="K5" s="97">
        <v>6.0</v>
      </c>
      <c r="L5" s="98">
        <f t="shared" si="1"/>
        <v>42</v>
      </c>
      <c r="M5" s="97">
        <v>6.0</v>
      </c>
      <c r="N5" s="97">
        <v>5.0</v>
      </c>
      <c r="O5" s="97">
        <v>4.0</v>
      </c>
      <c r="P5" s="97">
        <v>5.0</v>
      </c>
      <c r="Q5" s="97">
        <v>6.0</v>
      </c>
      <c r="R5" s="97">
        <v>3.0</v>
      </c>
      <c r="S5" s="97">
        <v>6.0</v>
      </c>
      <c r="T5" s="97">
        <v>6.0</v>
      </c>
      <c r="U5" s="97">
        <v>7.0</v>
      </c>
      <c r="V5" s="98">
        <f t="shared" si="2"/>
        <v>48</v>
      </c>
      <c r="W5" s="99">
        <f t="shared" si="3"/>
        <v>90</v>
      </c>
      <c r="X5" s="100" t="str">
        <f>IFS(W5&gt;$W$4,"+",$W$4&gt;W5,"")</f>
        <v>+</v>
      </c>
      <c r="Y5" s="100">
        <f>W5-$W$4</f>
        <v>18</v>
      </c>
      <c r="Z5" s="101" t="str">
        <f>X5&amp;Y5</f>
        <v>+18</v>
      </c>
      <c r="AA5" s="1"/>
      <c r="AB5" s="16" t="s">
        <v>41</v>
      </c>
      <c r="AC5" s="44">
        <f>COUNTIF($C$6:$U$6,"🐥")</f>
        <v>1</v>
      </c>
      <c r="AD5" s="17" t="s">
        <v>15</v>
      </c>
      <c r="AE5" s="68">
        <f>COUNTIF($C$8:$U$8,"🐥")</f>
        <v>1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🧻</v>
      </c>
      <c r="E6" s="103" t="str">
        <f t="shared" si="4"/>
        <v>🚩</v>
      </c>
      <c r="F6" s="103" t="str">
        <f t="shared" si="4"/>
        <v>🐥</v>
      </c>
      <c r="G6" s="103" t="str">
        <f t="shared" si="4"/>
        <v>💩</v>
      </c>
      <c r="H6" s="103" t="str">
        <f t="shared" si="4"/>
        <v>🚩</v>
      </c>
      <c r="I6" s="103" t="str">
        <f t="shared" si="4"/>
        <v>🧻</v>
      </c>
      <c r="J6" s="103" t="str">
        <f t="shared" si="4"/>
        <v>🧻</v>
      </c>
      <c r="K6" s="103" t="str">
        <f t="shared" si="4"/>
        <v>💩</v>
      </c>
      <c r="L6" s="104"/>
      <c r="M6" s="103" t="str">
        <f t="shared" ref="M6:U6" si="5">IFS(M$4-M5=1,$AD$5,M$4-M5=2,$AD$4,M$4=M5,$AD$6,M$4-M5=-1,$AD$7,M$4-M5=-2,$AD$8,M$4-M5=-3,$AD$9)</f>
        <v>💩</v>
      </c>
      <c r="N6" s="103" t="str">
        <f t="shared" si="5"/>
        <v>🚩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🧻</v>
      </c>
      <c r="R6" s="103" t="str">
        <f t="shared" si="5"/>
        <v>🚩</v>
      </c>
      <c r="S6" s="103" t="str">
        <f t="shared" si="5"/>
        <v>💩</v>
      </c>
      <c r="T6" s="103" t="str">
        <f t="shared" si="5"/>
        <v>💩</v>
      </c>
      <c r="U6" s="103" t="str">
        <f t="shared" si="5"/>
        <v>☠️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5</v>
      </c>
      <c r="AD6" s="17" t="s">
        <v>19</v>
      </c>
      <c r="AE6" s="68">
        <f>COUNTIF($C$8:$U$8,"🚩")</f>
        <v>5</v>
      </c>
    </row>
    <row r="7">
      <c r="A7" s="8"/>
      <c r="B7" s="107" t="str">
        <f>AE3</f>
        <v>Trey</v>
      </c>
      <c r="C7" s="97">
        <v>4.0</v>
      </c>
      <c r="D7" s="97">
        <v>5.0</v>
      </c>
      <c r="E7" s="97">
        <v>4.0</v>
      </c>
      <c r="F7" s="97">
        <v>5.0</v>
      </c>
      <c r="G7" s="97">
        <v>5.0</v>
      </c>
      <c r="H7" s="97">
        <v>4.0</v>
      </c>
      <c r="I7" s="97">
        <v>5.0</v>
      </c>
      <c r="J7" s="97">
        <v>6.0</v>
      </c>
      <c r="K7" s="97">
        <v>4.0</v>
      </c>
      <c r="L7" s="98">
        <f>SUM(C7:K7)</f>
        <v>42</v>
      </c>
      <c r="M7" s="97">
        <v>4.0</v>
      </c>
      <c r="N7" s="97">
        <v>6.0</v>
      </c>
      <c r="O7" s="97">
        <v>3.0</v>
      </c>
      <c r="P7" s="97">
        <v>5.0</v>
      </c>
      <c r="Q7" s="97">
        <v>4.0</v>
      </c>
      <c r="R7" s="97">
        <v>5.0</v>
      </c>
      <c r="S7" s="97">
        <v>7.0</v>
      </c>
      <c r="T7" s="97">
        <v>5.0</v>
      </c>
      <c r="U7" s="97">
        <v>7.0</v>
      </c>
      <c r="V7" s="98">
        <f>SUM(M7:U7)</f>
        <v>46</v>
      </c>
      <c r="W7" s="99">
        <f>SUM(L7+V7)</f>
        <v>88</v>
      </c>
      <c r="X7" s="100" t="str">
        <f>IFS(W7&gt;$W$4,"+",$W$4&gt;W7,"")</f>
        <v>+</v>
      </c>
      <c r="Y7" s="100">
        <f>W7-$W$4</f>
        <v>16</v>
      </c>
      <c r="Z7" s="101" t="str">
        <f>X7&amp;Y7</f>
        <v>+16</v>
      </c>
      <c r="AB7" s="16" t="s">
        <v>43</v>
      </c>
      <c r="AC7" s="44">
        <f>COUNTIF($C$6:$U$6,"🧻")</f>
        <v>6</v>
      </c>
      <c r="AD7" s="17" t="s">
        <v>23</v>
      </c>
      <c r="AE7" s="68">
        <f>COUNTIF($C$8:$U$8,"🧻")</f>
        <v>9</v>
      </c>
    </row>
    <row r="8">
      <c r="A8" s="8"/>
      <c r="B8" s="108"/>
      <c r="C8" s="80" t="str">
        <f t="shared" ref="C8:K8" si="6">IFS(C$4-C7=1,$AD$5,C$4-C7=2,$AD$4,C$4=C7,$AD$6,C$4-C7=-1,$AD$7,C$4-C7=-2,$AD$8,C$4-C7=-3,$AD$9)</f>
        <v>🚩</v>
      </c>
      <c r="D8" s="80" t="str">
        <f t="shared" si="6"/>
        <v>🧻</v>
      </c>
      <c r="E8" s="80" t="str">
        <f t="shared" si="6"/>
        <v>🧻</v>
      </c>
      <c r="F8" s="80" t="str">
        <f t="shared" si="6"/>
        <v>🚩</v>
      </c>
      <c r="G8" s="80" t="str">
        <f t="shared" si="6"/>
        <v>🧻</v>
      </c>
      <c r="H8" s="80" t="str">
        <f t="shared" si="6"/>
        <v>🧻</v>
      </c>
      <c r="I8" s="80" t="str">
        <f t="shared" si="6"/>
        <v>🧻</v>
      </c>
      <c r="J8" s="80" t="str">
        <f t="shared" si="6"/>
        <v>🧻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🧻</v>
      </c>
      <c r="O8" s="80" t="str">
        <f t="shared" si="7"/>
        <v>🚩</v>
      </c>
      <c r="P8" s="80" t="str">
        <f t="shared" si="7"/>
        <v>🧻</v>
      </c>
      <c r="Q8" s="80" t="str">
        <f t="shared" si="7"/>
        <v>🐥</v>
      </c>
      <c r="R8" s="80" t="str">
        <f t="shared" si="7"/>
        <v>💩</v>
      </c>
      <c r="S8" s="80" t="str">
        <f t="shared" si="7"/>
        <v>☠️</v>
      </c>
      <c r="T8" s="80" t="str">
        <f t="shared" si="7"/>
        <v>🧻</v>
      </c>
      <c r="U8" s="80" t="str">
        <f t="shared" si="7"/>
        <v>☠️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5</v>
      </c>
      <c r="AD8" s="17" t="s">
        <v>27</v>
      </c>
      <c r="AE8" s="68">
        <f>COUNTIF($C$8:$U$8,"💩")</f>
        <v>1</v>
      </c>
    </row>
    <row r="9">
      <c r="V9" s="1"/>
      <c r="W9" s="1"/>
      <c r="AB9" s="19" t="s">
        <v>45</v>
      </c>
      <c r="AC9" s="80">
        <f>COUNTIF($C$6:$U$6,"☠️")</f>
        <v>1</v>
      </c>
      <c r="AD9" s="20" t="s">
        <v>70</v>
      </c>
      <c r="AE9" s="112">
        <f>COUNTIF($C$8:$U$8,"☠️")</f>
        <v>2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6</v>
      </c>
      <c r="AD10" s="113"/>
      <c r="AE10" s="114">
        <f>Count(C23:U23)</f>
        <v>6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6.5</v>
      </c>
      <c r="AD11" s="80"/>
      <c r="AE11" s="112">
        <f>U25</f>
        <v>7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0.5</v>
      </c>
      <c r="AE12" s="120">
        <f>AD12*AD3</f>
        <v>1.5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 t="str">
        <f t="shared" si="8"/>
        <v>AS</v>
      </c>
      <c r="E18" s="1">
        <f t="shared" si="8"/>
        <v>1</v>
      </c>
      <c r="F18" s="1">
        <f t="shared" si="8"/>
        <v>3</v>
      </c>
      <c r="G18" s="1">
        <f t="shared" si="8"/>
        <v>2</v>
      </c>
      <c r="H18" s="1">
        <f t="shared" si="8"/>
        <v>3</v>
      </c>
      <c r="I18" s="1">
        <f t="shared" si="8"/>
        <v>3</v>
      </c>
      <c r="J18" s="1">
        <f t="shared" si="8"/>
        <v>3</v>
      </c>
      <c r="K18" s="1">
        <f t="shared" si="8"/>
        <v>2</v>
      </c>
      <c r="L18" s="1">
        <f t="shared" si="8"/>
        <v>2</v>
      </c>
      <c r="M18" s="1">
        <f t="shared" si="8"/>
        <v>1</v>
      </c>
      <c r="N18" s="1">
        <f t="shared" si="8"/>
        <v>2</v>
      </c>
      <c r="O18" s="1">
        <f t="shared" si="8"/>
        <v>1</v>
      </c>
      <c r="P18" s="1">
        <f t="shared" si="8"/>
        <v>1</v>
      </c>
      <c r="Q18" s="1">
        <f t="shared" si="8"/>
        <v>1</v>
      </c>
      <c r="R18" s="1" t="str">
        <f t="shared" si="8"/>
        <v>AS</v>
      </c>
      <c r="S18" s="1">
        <f t="shared" si="8"/>
        <v>0.5</v>
      </c>
      <c r="T18" s="1">
        <f t="shared" si="8"/>
        <v>0.5</v>
      </c>
      <c r="U18" s="1">
        <f t="shared" si="8"/>
        <v>0.5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>🚩</v>
      </c>
      <c r="F19" s="1" t="str">
        <f t="shared" si="9"/>
        <v>🐥</v>
      </c>
      <c r="G19" s="1" t="str">
        <f t="shared" si="9"/>
        <v/>
      </c>
      <c r="H19" s="1" t="str">
        <f t="shared" si="9"/>
        <v>🚩</v>
      </c>
      <c r="I19" s="1" t="str">
        <f t="shared" si="9"/>
        <v/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>🚩</v>
      </c>
      <c r="O19" s="1" t="str">
        <f t="shared" si="10"/>
        <v/>
      </c>
      <c r="P19" s="1" t="str">
        <f t="shared" si="10"/>
        <v/>
      </c>
      <c r="Q19" s="1" t="str">
        <f t="shared" si="10"/>
        <v/>
      </c>
      <c r="R19" s="1" t="str">
        <f t="shared" si="10"/>
        <v>🚩</v>
      </c>
      <c r="S19" s="1" t="str">
        <f t="shared" si="10"/>
        <v>💩</v>
      </c>
      <c r="T19" s="1" t="str">
        <f t="shared" si="10"/>
        <v/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/>
      </c>
      <c r="E20" s="1" t="str">
        <f t="shared" si="11"/>
        <v/>
      </c>
      <c r="F20" s="1" t="str">
        <f t="shared" si="11"/>
        <v/>
      </c>
      <c r="G20" s="1" t="str">
        <f t="shared" si="11"/>
        <v>🧻</v>
      </c>
      <c r="H20" s="1" t="str">
        <f t="shared" si="11"/>
        <v/>
      </c>
      <c r="I20" s="1" t="str">
        <f t="shared" si="11"/>
        <v/>
      </c>
      <c r="J20" s="1" t="str">
        <f t="shared" si="11"/>
        <v/>
      </c>
      <c r="K20" s="1" t="str">
        <f t="shared" si="11"/>
        <v>🚩</v>
      </c>
      <c r="L20" s="1"/>
      <c r="M20" s="1" t="str">
        <f t="shared" ref="M20:U20" si="12">IF(M$5&gt;M$7,M8,)</f>
        <v>🚩</v>
      </c>
      <c r="N20" s="1" t="str">
        <f t="shared" si="12"/>
        <v/>
      </c>
      <c r="O20" s="1" t="str">
        <f t="shared" si="12"/>
        <v>🚩</v>
      </c>
      <c r="P20" s="1" t="str">
        <f t="shared" si="12"/>
        <v/>
      </c>
      <c r="Q20" s="1" t="str">
        <f t="shared" si="12"/>
        <v>🐥</v>
      </c>
      <c r="R20" s="1" t="str">
        <f t="shared" si="12"/>
        <v/>
      </c>
      <c r="S20" s="1" t="str">
        <f t="shared" si="12"/>
        <v/>
      </c>
      <c r="T20" s="1" t="str">
        <f t="shared" si="12"/>
        <v>🧻</v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>
        <f>IFS(E19=$AD$4,Rules!$G$3,E19=$AD$5,Rules!$G$4,E19=$AD$6,Rules!$G$5,E19=$AD$7,Rules!$G$6,E19=$AD$8,Rules!$G$7,E19="",)</f>
        <v>1</v>
      </c>
      <c r="F22" s="1">
        <f>IFS(F19=$AD$4,Rules!$G$3,F19=$AD$5,Rules!$G$4,F19=$AD$6,Rules!$G$5,F19=$AD$7,Rules!$G$6,F19=$AD$8,Rules!$G$7,F19="",)</f>
        <v>2</v>
      </c>
      <c r="G22" s="1" t="str">
        <f>IFS(G19=$AD$4,Rules!$G$3,G19=$AD$5,Rules!$G$4,G19=$AD$6,Rules!$G$5,G19=$AD$7,Rules!$G$6,G19=$AD$8,Rules!$G$7,G19="",)</f>
        <v/>
      </c>
      <c r="H22" s="1">
        <f>IFS(H19=$AD$4,Rules!$G$3,H19=$AD$5,Rules!$G$4,H19=$AD$6,Rules!$G$5,H19=$AD$7,Rules!$G$6,H19=$AD$8,Rules!$G$7,H19="",)</f>
        <v>1</v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>
        <f>IFS(N19=$AD$4,Rules!$G$3,N19=$AD$5,Rules!$G$4,N19=$AD$6,Rules!$G$5,N19=$AD$7,Rules!$G$6,N19=$AD$8,Rules!$G$7,N19="",)</f>
        <v>1</v>
      </c>
      <c r="O22" s="1" t="str">
        <f>IFS(O19=$AD$4,Rules!$G$3,O19=$AD$5,Rules!$G$4,O19=$AD$6,Rules!$G$5,O19=$AD$7,Rules!$G$6,O19=$AD$8,Rules!$G$7,O19="",)</f>
        <v/>
      </c>
      <c r="P22" s="1" t="str">
        <f>IFS(P19=$AD$4,Rules!$G$3,P19=$AD$5,Rules!$G$4,P19=$AD$6,Rules!$G$5,P19=$AD$7,Rules!$G$6,P19=$AD$8,Rules!$G$7,P19="",)</f>
        <v/>
      </c>
      <c r="Q22" s="1" t="str">
        <f>IFS(Q19=$AD$4,Rules!$G$3,Q19=$AD$5,Rules!$G$4,Q19=$AD$6,Rules!$G$5,Q19=$AD$7,Rules!$G$6,Q19=$AD$8,Rules!$G$7,Q19="",)</f>
        <v/>
      </c>
      <c r="R22" s="1">
        <f>IFS(R19=$AD$4,Rules!$G$3,R19=$AD$5,Rules!$G$4,R19=$AD$6,Rules!$G$5,R19=$AD$7,Rules!$G$6,R19=$AD$8,Rules!$G$7,R19="",)</f>
        <v>1</v>
      </c>
      <c r="S22" s="1">
        <f>IFS(S19=$AD$4,Rules!$G$3,S19=$AD$5,Rules!$G$4,S19=$AD$6,Rules!$G$5,S19=$AD$7,Rules!$G$6,S19=$AD$8,Rules!$G$7,S19="",)</f>
        <v>0.5</v>
      </c>
      <c r="T22" s="1" t="str">
        <f>IFS(T19=$AD$4,Rules!$G$3,T19=$AD$5,Rules!$G$4,T19=$AD$6,Rules!$G$5,T19=$AD$7,Rules!$G$6,T19=$AD$8,Rules!$G$7,T19="",)</f>
        <v/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 t="str">
        <f>IFS(F20=$AD$4,Rules!$G$3,F20=$AD$5,Rules!$G$4,F20=$AD$6,Rules!$G$5,F20=$AD$7,Rules!$G$6,F20=$AD$8,Rules!$G$7,F20="",)</f>
        <v/>
      </c>
      <c r="G23" s="1">
        <f>IFS(G20=$AD$4,Rules!$G$3,G20=$AD$5,Rules!$G$4,G20=$AD$6,Rules!$G$5,G20=$AD$7,Rules!$G$6,G20=$AD$8,Rules!$G$7,G20="",)</f>
        <v>1</v>
      </c>
      <c r="H23" s="1" t="str">
        <f>IFS(H20=$AD$4,Rules!$G$3,H20=$AD$5,Rules!$G$4,H20=$AD$6,Rules!$G$5,H20=$AD$7,Rules!$G$6,H20=$AD$8,Rules!$G$7,H20="",)</f>
        <v/>
      </c>
      <c r="I23" s="1" t="str">
        <f>IFS(I20=$AD$4,Rules!$G$3,I20=$AD$5,Rules!$G$4,I20=$AD$6,Rules!$G$5,I20=$AD$7,Rules!$G$6,I20=$AD$8,Rules!$G$7,I20="",)</f>
        <v/>
      </c>
      <c r="J23" s="1" t="str">
        <f>IFS(J20=$AD$4,Rules!$G$3,J20=$AD$5,Rules!$G$4,J20=$AD$6,Rules!$G$5,J20=$AD$7,Rules!$G$6,J20=$AD$8,Rules!$G$7,J20="",)</f>
        <v/>
      </c>
      <c r="K23" s="1">
        <f>IFS(K20=$AD$4,Rules!$G$3,K20=$AD$5,Rules!$G$4,K20=$AD$6,Rules!$G$5,K20=$AD$7,Rules!$G$6,K20=$AD$8,Rules!$G$7,K20="",)</f>
        <v>1</v>
      </c>
      <c r="L23" s="1"/>
      <c r="M23" s="1">
        <f>IFS(M20=$AD$4,Rules!$G$3,M20=$AD$5,Rules!$G$4,M20=$AD$6,Rules!$G$5,M20=$AD$7,Rules!$G$6,M20=$AD$8,Rules!$G$7,M20="",)</f>
        <v>1</v>
      </c>
      <c r="N23" s="1" t="str">
        <f>IFS(N20=$AD$4,Rules!$G$3,N20=$AD$5,Rules!$G$4,N20=$AD$6,Rules!$G$5,N20=$AD$7,Rules!$G$6,N20=$AD$8,Rules!$G$7,N20="",)</f>
        <v/>
      </c>
      <c r="O23" s="1">
        <f>IFS(O20=$AD$4,Rules!$G$3,O20=$AD$5,Rules!$G$4,O20=$AD$6,Rules!$G$5,O20=$AD$7,Rules!$G$6,O20=$AD$8,Rules!$G$7,O20="",)</f>
        <v>1</v>
      </c>
      <c r="P23" s="1" t="str">
        <f>IFS(P20=$AD$4,Rules!$G$3,P20=$AD$5,Rules!$G$4,P20=$AD$6,Rules!$G$5,P20=$AD$7,Rules!$G$6,P20=$AD$8,Rules!$G$7,P20="",)</f>
        <v/>
      </c>
      <c r="Q23" s="1">
        <f>IFS(Q20=$AD$4,Rules!$G$3,Q20=$AD$5,Rules!$G$4,Q20=$AD$6,Rules!$G$5,Q20=$AD$7,Rules!$G$6,Q20=$AD$8,Rules!$G$7,Q20="",)</f>
        <v>2</v>
      </c>
      <c r="R23" s="1" t="str">
        <f>IFS(R20=$AD$4,Rules!$G$3,R20=$AD$5,Rules!$G$4,R20=$AD$6,Rules!$G$5,R20=$AD$7,Rules!$G$6,R20=$AD$8,Rules!$G$7,R20="",)</f>
        <v/>
      </c>
      <c r="S23" s="1" t="str">
        <f>IFS(S20=$AD$4,Rules!$G$3,S20=$AD$5,Rules!$G$4,S20=$AD$6,Rules!$G$5,S20=$AD$7,Rules!$G$6,S20=$AD$8,Rules!$G$7,S20="",)</f>
        <v/>
      </c>
      <c r="T23" s="1">
        <f>IFS(T20=$AD$4,Rules!$G$3,T20=$AD$5,Rules!$G$4,T20=$AD$6,Rules!$G$5,T20=$AD$7,Rules!$G$6,T20=$AD$8,Rules!$G$7,T20="",)</f>
        <v>1</v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1</v>
      </c>
      <c r="F24" s="1">
        <f t="shared" si="13"/>
        <v>3</v>
      </c>
      <c r="G24" s="1">
        <f t="shared" si="13"/>
        <v>3</v>
      </c>
      <c r="H24" s="1">
        <f t="shared" si="13"/>
        <v>4</v>
      </c>
      <c r="I24" s="1">
        <f t="shared" si="13"/>
        <v>4</v>
      </c>
      <c r="J24" s="1">
        <f t="shared" si="13"/>
        <v>4</v>
      </c>
      <c r="K24" s="1">
        <f t="shared" si="13"/>
        <v>4</v>
      </c>
      <c r="L24" s="1">
        <f t="shared" si="13"/>
        <v>4</v>
      </c>
      <c r="M24" s="1">
        <f t="shared" si="13"/>
        <v>4</v>
      </c>
      <c r="N24" s="1">
        <f t="shared" si="13"/>
        <v>5</v>
      </c>
      <c r="O24" s="1">
        <f t="shared" si="13"/>
        <v>5</v>
      </c>
      <c r="P24" s="1">
        <f t="shared" si="13"/>
        <v>5</v>
      </c>
      <c r="Q24" s="1">
        <f t="shared" si="13"/>
        <v>5</v>
      </c>
      <c r="R24" s="1">
        <f t="shared" si="13"/>
        <v>6</v>
      </c>
      <c r="S24" s="1">
        <f t="shared" si="13"/>
        <v>6.5</v>
      </c>
      <c r="T24" s="1">
        <f t="shared" si="13"/>
        <v>6.5</v>
      </c>
      <c r="U24" s="1">
        <f t="shared" si="13"/>
        <v>6.5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0</v>
      </c>
      <c r="E25" s="1">
        <f t="shared" si="15"/>
        <v>0</v>
      </c>
      <c r="F25" s="1">
        <f t="shared" si="15"/>
        <v>0</v>
      </c>
      <c r="G25" s="1">
        <f t="shared" si="15"/>
        <v>1</v>
      </c>
      <c r="H25" s="1">
        <f t="shared" si="15"/>
        <v>1</v>
      </c>
      <c r="I25" s="1">
        <f t="shared" si="15"/>
        <v>1</v>
      </c>
      <c r="J25" s="1">
        <f t="shared" si="15"/>
        <v>1</v>
      </c>
      <c r="K25" s="1">
        <f t="shared" si="15"/>
        <v>2</v>
      </c>
      <c r="L25" s="1">
        <f t="shared" si="15"/>
        <v>2</v>
      </c>
      <c r="M25" s="1">
        <f t="shared" si="15"/>
        <v>3</v>
      </c>
      <c r="N25" s="1">
        <f t="shared" si="15"/>
        <v>3</v>
      </c>
      <c r="O25" s="1">
        <f t="shared" si="15"/>
        <v>4</v>
      </c>
      <c r="P25" s="1">
        <f t="shared" si="15"/>
        <v>4</v>
      </c>
      <c r="Q25" s="1">
        <f t="shared" si="15"/>
        <v>6</v>
      </c>
      <c r="R25" s="1">
        <f t="shared" si="15"/>
        <v>6</v>
      </c>
      <c r="S25" s="1">
        <f t="shared" si="15"/>
        <v>6</v>
      </c>
      <c r="T25" s="1">
        <f t="shared" si="15"/>
        <v>7</v>
      </c>
      <c r="U25" s="1">
        <f t="shared" si="15"/>
        <v>7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46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3">
        <v>228734.0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4.0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4.0</v>
      </c>
      <c r="E4" s="37">
        <v>4.0</v>
      </c>
      <c r="F4" s="37">
        <v>5.0</v>
      </c>
      <c r="G4" s="37">
        <v>3.0</v>
      </c>
      <c r="H4" s="37">
        <v>4.0</v>
      </c>
      <c r="I4" s="37">
        <v>4.0</v>
      </c>
      <c r="J4" s="37">
        <v>3.0</v>
      </c>
      <c r="K4" s="37">
        <v>5.0</v>
      </c>
      <c r="L4" s="94">
        <f t="shared" ref="L4:L5" si="1">SUM(C4:K4)</f>
        <v>36</v>
      </c>
      <c r="M4" s="37">
        <v>4.0</v>
      </c>
      <c r="N4" s="37">
        <v>3.0</v>
      </c>
      <c r="O4" s="37">
        <v>4.0</v>
      </c>
      <c r="P4" s="37">
        <v>5.0</v>
      </c>
      <c r="Q4" s="37">
        <v>4.0</v>
      </c>
      <c r="R4" s="37">
        <v>4.0</v>
      </c>
      <c r="S4" s="37">
        <v>5.0</v>
      </c>
      <c r="T4" s="37">
        <v>3.0</v>
      </c>
      <c r="U4" s="37">
        <v>5.0</v>
      </c>
      <c r="V4" s="94">
        <f t="shared" ref="V4:V5" si="2">SUM(M4:U4)</f>
        <v>37</v>
      </c>
      <c r="W4" s="95">
        <f t="shared" ref="W4:W5" si="3">SUM(L4+V4)</f>
        <v>73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3.0</v>
      </c>
      <c r="D5" s="97">
        <v>4.0</v>
      </c>
      <c r="E5" s="97">
        <v>4.0</v>
      </c>
      <c r="F5" s="97">
        <v>5.0</v>
      </c>
      <c r="G5" s="97">
        <v>5.0</v>
      </c>
      <c r="H5" s="97">
        <v>5.0</v>
      </c>
      <c r="I5" s="97">
        <v>5.0</v>
      </c>
      <c r="J5" s="97">
        <v>3.0</v>
      </c>
      <c r="K5" s="97">
        <v>5.0</v>
      </c>
      <c r="L5" s="98">
        <f t="shared" si="1"/>
        <v>39</v>
      </c>
      <c r="M5" s="97">
        <v>4.0</v>
      </c>
      <c r="N5" s="97">
        <v>4.0</v>
      </c>
      <c r="O5" s="97">
        <v>4.0</v>
      </c>
      <c r="P5" s="97">
        <v>6.0</v>
      </c>
      <c r="Q5" s="97">
        <v>4.0</v>
      </c>
      <c r="R5" s="97">
        <v>4.0</v>
      </c>
      <c r="S5" s="97">
        <v>7.0</v>
      </c>
      <c r="T5" s="97">
        <v>5.0</v>
      </c>
      <c r="U5" s="97">
        <v>7.0</v>
      </c>
      <c r="V5" s="98">
        <f t="shared" si="2"/>
        <v>45</v>
      </c>
      <c r="W5" s="99">
        <f t="shared" si="3"/>
        <v>84</v>
      </c>
      <c r="X5" s="100" t="str">
        <f>IFS(W5&gt;$W$4,"+",$W$4&gt;W5,"")</f>
        <v>+</v>
      </c>
      <c r="Y5" s="100">
        <f>W5-$W$4</f>
        <v>11</v>
      </c>
      <c r="Z5" s="101" t="str">
        <f>X5&amp;Y5</f>
        <v>+11</v>
      </c>
      <c r="AA5" s="1"/>
      <c r="AB5" s="16" t="s">
        <v>41</v>
      </c>
      <c r="AC5" s="44">
        <f>COUNTIF($C$6:$U$6,"🐥")</f>
        <v>1</v>
      </c>
      <c r="AD5" s="17" t="s">
        <v>15</v>
      </c>
      <c r="AE5" s="68">
        <f>COUNTIF($C$8:$U$8,"🐥")</f>
        <v>4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🐥</v>
      </c>
      <c r="D6" s="103" t="str">
        <f t="shared" si="4"/>
        <v>🚩</v>
      </c>
      <c r="E6" s="103" t="str">
        <f t="shared" si="4"/>
        <v>🚩</v>
      </c>
      <c r="F6" s="103" t="str">
        <f t="shared" si="4"/>
        <v>🚩</v>
      </c>
      <c r="G6" s="103" t="str">
        <f t="shared" si="4"/>
        <v>💩</v>
      </c>
      <c r="H6" s="103" t="str">
        <f t="shared" si="4"/>
        <v>🧻</v>
      </c>
      <c r="I6" s="103" t="str">
        <f t="shared" si="4"/>
        <v>🧻</v>
      </c>
      <c r="J6" s="103" t="str">
        <f t="shared" si="4"/>
        <v>🚩</v>
      </c>
      <c r="K6" s="103" t="str">
        <f t="shared" si="4"/>
        <v>🚩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🧻</v>
      </c>
      <c r="O6" s="103" t="str">
        <f t="shared" si="5"/>
        <v>🚩</v>
      </c>
      <c r="P6" s="103" t="str">
        <f t="shared" si="5"/>
        <v>🧻</v>
      </c>
      <c r="Q6" s="103" t="str">
        <f t="shared" si="5"/>
        <v>🚩</v>
      </c>
      <c r="R6" s="103" t="str">
        <f t="shared" si="5"/>
        <v>🚩</v>
      </c>
      <c r="S6" s="103" t="str">
        <f t="shared" si="5"/>
        <v>💩</v>
      </c>
      <c r="T6" s="103" t="str">
        <f t="shared" si="5"/>
        <v>💩</v>
      </c>
      <c r="U6" s="103" t="str">
        <f t="shared" si="5"/>
        <v>💩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9</v>
      </c>
      <c r="AD6" s="17" t="s">
        <v>19</v>
      </c>
      <c r="AE6" s="68">
        <f>COUNTIF($C$8:$U$8,"🚩")</f>
        <v>7</v>
      </c>
    </row>
    <row r="7">
      <c r="A7" s="8"/>
      <c r="B7" s="107" t="str">
        <f>AE3</f>
        <v>Trey</v>
      </c>
      <c r="C7" s="97">
        <v>3.0</v>
      </c>
      <c r="D7" s="97">
        <v>6.0</v>
      </c>
      <c r="E7" s="97">
        <v>4.0</v>
      </c>
      <c r="F7" s="97">
        <v>4.0</v>
      </c>
      <c r="G7" s="97">
        <v>3.0</v>
      </c>
      <c r="H7" s="97">
        <v>6.0</v>
      </c>
      <c r="I7" s="97">
        <v>5.0</v>
      </c>
      <c r="J7" s="97">
        <v>4.0</v>
      </c>
      <c r="K7" s="97">
        <v>5.0</v>
      </c>
      <c r="L7" s="98">
        <f>SUM(C7:K7)</f>
        <v>40</v>
      </c>
      <c r="M7" s="97">
        <v>3.0</v>
      </c>
      <c r="N7" s="97">
        <v>5.0</v>
      </c>
      <c r="O7" s="97">
        <v>5.0</v>
      </c>
      <c r="P7" s="97">
        <v>4.0</v>
      </c>
      <c r="Q7" s="97">
        <v>4.0</v>
      </c>
      <c r="R7" s="97">
        <v>4.0</v>
      </c>
      <c r="S7" s="97">
        <v>5.0</v>
      </c>
      <c r="T7" s="97">
        <v>3.0</v>
      </c>
      <c r="U7" s="97">
        <v>6.0</v>
      </c>
      <c r="V7" s="98">
        <f>SUM(M7:U7)</f>
        <v>39</v>
      </c>
      <c r="W7" s="99">
        <f>SUM(L7+V7)</f>
        <v>79</v>
      </c>
      <c r="X7" s="100" t="str">
        <f>IFS(W7&gt;$W$4,"+",$W$4&gt;W7,"")</f>
        <v>+</v>
      </c>
      <c r="Y7" s="100">
        <f>W7-$W$4</f>
        <v>6</v>
      </c>
      <c r="Z7" s="101" t="str">
        <f>X7&amp;Y7</f>
        <v>+6</v>
      </c>
      <c r="AB7" s="16" t="s">
        <v>43</v>
      </c>
      <c r="AC7" s="44">
        <f>COUNTIF($C$6:$U$6,"🧻")</f>
        <v>4</v>
      </c>
      <c r="AD7" s="17" t="s">
        <v>23</v>
      </c>
      <c r="AE7" s="68">
        <f>COUNTIF($C$8:$U$8,"🧻")</f>
        <v>4</v>
      </c>
    </row>
    <row r="8">
      <c r="A8" s="8"/>
      <c r="B8" s="108"/>
      <c r="C8" s="80" t="str">
        <f t="shared" ref="C8:K8" si="6">IFS(C$4-C7=1,$AD$5,C$4-C7=2,$AD$4,C$4=C7,$AD$6,C$4-C7=-1,$AD$7,C$4-C7=-2,$AD$8,C$4-C7=-3,$AD$9)</f>
        <v>🐥</v>
      </c>
      <c r="D8" s="80" t="str">
        <f t="shared" si="6"/>
        <v>💩</v>
      </c>
      <c r="E8" s="80" t="str">
        <f t="shared" si="6"/>
        <v>🚩</v>
      </c>
      <c r="F8" s="80" t="str">
        <f t="shared" si="6"/>
        <v>🐥</v>
      </c>
      <c r="G8" s="80" t="str">
        <f t="shared" si="6"/>
        <v>🚩</v>
      </c>
      <c r="H8" s="80" t="str">
        <f t="shared" si="6"/>
        <v>💩</v>
      </c>
      <c r="I8" s="80" t="str">
        <f t="shared" si="6"/>
        <v>🧻</v>
      </c>
      <c r="J8" s="80" t="str">
        <f t="shared" si="6"/>
        <v>🧻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🐥</v>
      </c>
      <c r="N8" s="80" t="str">
        <f t="shared" si="7"/>
        <v>💩</v>
      </c>
      <c r="O8" s="80" t="str">
        <f t="shared" si="7"/>
        <v>🧻</v>
      </c>
      <c r="P8" s="80" t="str">
        <f t="shared" si="7"/>
        <v>🐥</v>
      </c>
      <c r="Q8" s="80" t="str">
        <f t="shared" si="7"/>
        <v>🚩</v>
      </c>
      <c r="R8" s="80" t="str">
        <f t="shared" si="7"/>
        <v>🚩</v>
      </c>
      <c r="S8" s="80" t="str">
        <f t="shared" si="7"/>
        <v>🚩</v>
      </c>
      <c r="T8" s="80" t="str">
        <f t="shared" si="7"/>
        <v>🚩</v>
      </c>
      <c r="U8" s="80" t="str">
        <f t="shared" si="7"/>
        <v>🧻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4</v>
      </c>
      <c r="AD8" s="17" t="s">
        <v>27</v>
      </c>
      <c r="AE8" s="68">
        <f>COUNTIF($C$8:$U$8,"💩")</f>
        <v>3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0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5</v>
      </c>
      <c r="AD10" s="113"/>
      <c r="AE10" s="114">
        <f>Count(C23:U23)</f>
        <v>7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5</v>
      </c>
      <c r="AD11" s="80"/>
      <c r="AE11" s="112">
        <f>U25</f>
        <v>10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5</v>
      </c>
      <c r="AE12" s="120">
        <f>AD12*AD3</f>
        <v>20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>
        <f t="shared" si="8"/>
        <v>1</v>
      </c>
      <c r="E18" s="1">
        <f t="shared" si="8"/>
        <v>1</v>
      </c>
      <c r="F18" s="1">
        <f t="shared" si="8"/>
        <v>1</v>
      </c>
      <c r="G18" s="1">
        <f t="shared" si="8"/>
        <v>2</v>
      </c>
      <c r="H18" s="1">
        <f t="shared" si="8"/>
        <v>1</v>
      </c>
      <c r="I18" s="1">
        <f t="shared" si="8"/>
        <v>1</v>
      </c>
      <c r="J18" s="1" t="str">
        <f t="shared" si="8"/>
        <v>AS</v>
      </c>
      <c r="K18" s="1" t="str">
        <f t="shared" si="8"/>
        <v>AS</v>
      </c>
      <c r="L18" s="1" t="str">
        <f t="shared" si="8"/>
        <v>AS</v>
      </c>
      <c r="M18" s="1">
        <f t="shared" si="8"/>
        <v>2</v>
      </c>
      <c r="N18" s="1">
        <f t="shared" si="8"/>
        <v>1</v>
      </c>
      <c r="O18" s="1" t="str">
        <f t="shared" si="8"/>
        <v>AS</v>
      </c>
      <c r="P18" s="1">
        <f t="shared" si="8"/>
        <v>2</v>
      </c>
      <c r="Q18" s="1">
        <f t="shared" si="8"/>
        <v>2</v>
      </c>
      <c r="R18" s="1">
        <f t="shared" si="8"/>
        <v>2</v>
      </c>
      <c r="S18" s="1">
        <f t="shared" si="8"/>
        <v>3</v>
      </c>
      <c r="T18" s="1">
        <f t="shared" si="8"/>
        <v>4</v>
      </c>
      <c r="U18" s="1">
        <f t="shared" si="8"/>
        <v>5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>🚩</v>
      </c>
      <c r="E19" s="1" t="str">
        <f t="shared" si="9"/>
        <v/>
      </c>
      <c r="F19" s="1" t="str">
        <f t="shared" si="9"/>
        <v/>
      </c>
      <c r="G19" s="1" t="str">
        <f t="shared" si="9"/>
        <v/>
      </c>
      <c r="H19" s="1" t="str">
        <f t="shared" si="9"/>
        <v>🧻</v>
      </c>
      <c r="I19" s="1" t="str">
        <f t="shared" si="9"/>
        <v/>
      </c>
      <c r="J19" s="1" t="str">
        <f t="shared" si="9"/>
        <v>🚩</v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>🧻</v>
      </c>
      <c r="O19" s="1" t="str">
        <f t="shared" si="10"/>
        <v>🚩</v>
      </c>
      <c r="P19" s="1" t="str">
        <f t="shared" si="10"/>
        <v/>
      </c>
      <c r="Q19" s="1" t="str">
        <f t="shared" si="10"/>
        <v/>
      </c>
      <c r="R19" s="1" t="str">
        <f t="shared" si="10"/>
        <v/>
      </c>
      <c r="S19" s="1" t="str">
        <f t="shared" si="10"/>
        <v/>
      </c>
      <c r="T19" s="1" t="str">
        <f t="shared" si="10"/>
        <v/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/>
      </c>
      <c r="E20" s="1" t="str">
        <f t="shared" si="11"/>
        <v/>
      </c>
      <c r="F20" s="1" t="str">
        <f t="shared" si="11"/>
        <v>🐥</v>
      </c>
      <c r="G20" s="1" t="str">
        <f t="shared" si="11"/>
        <v>🚩</v>
      </c>
      <c r="H20" s="1" t="str">
        <f t="shared" si="11"/>
        <v/>
      </c>
      <c r="I20" s="1" t="str">
        <f t="shared" si="11"/>
        <v/>
      </c>
      <c r="J20" s="1" t="str">
        <f t="shared" si="11"/>
        <v/>
      </c>
      <c r="K20" s="1" t="str">
        <f t="shared" si="11"/>
        <v/>
      </c>
      <c r="L20" s="1"/>
      <c r="M20" s="1" t="str">
        <f t="shared" ref="M20:U20" si="12">IF(M$5&gt;M$7,M8,)</f>
        <v>🐥</v>
      </c>
      <c r="N20" s="1" t="str">
        <f t="shared" si="12"/>
        <v/>
      </c>
      <c r="O20" s="1" t="str">
        <f t="shared" si="12"/>
        <v/>
      </c>
      <c r="P20" s="1" t="str">
        <f t="shared" si="12"/>
        <v>🐥</v>
      </c>
      <c r="Q20" s="1" t="str">
        <f t="shared" si="12"/>
        <v/>
      </c>
      <c r="R20" s="1" t="str">
        <f t="shared" si="12"/>
        <v/>
      </c>
      <c r="S20" s="1" t="str">
        <f t="shared" si="12"/>
        <v>🚩</v>
      </c>
      <c r="T20" s="1" t="str">
        <f t="shared" si="12"/>
        <v>🚩</v>
      </c>
      <c r="U20" s="1" t="str">
        <f t="shared" si="12"/>
        <v>🧻</v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>
        <f>IFS(D19=$AD$4,Rules!$G$3,D19=$AD$5,Rules!$G$4,D19=$AD$6,Rules!$G$5,D19=$AD$7,Rules!$G$6,D19=$AD$8,Rules!$G$7,D19="",)</f>
        <v>1</v>
      </c>
      <c r="E22" s="1" t="str">
        <f>IFS(E19=$AD$4,Rules!$G$3,E19=$AD$5,Rules!$G$4,E19=$AD$6,Rules!$G$5,E19=$AD$7,Rules!$G$6,E19=$AD$8,Rules!$G$7,E19="",)</f>
        <v/>
      </c>
      <c r="F22" s="1" t="str">
        <f>IFS(F19=$AD$4,Rules!$G$3,F19=$AD$5,Rules!$G$4,F19=$AD$6,Rules!$G$5,F19=$AD$7,Rules!$G$6,F19=$AD$8,Rules!$G$7,F19="",)</f>
        <v/>
      </c>
      <c r="G22" s="1" t="str">
        <f>IFS(G19=$AD$4,Rules!$G$3,G19=$AD$5,Rules!$G$4,G19=$AD$6,Rules!$G$5,G19=$AD$7,Rules!$G$6,G19=$AD$8,Rules!$G$7,G19="",)</f>
        <v/>
      </c>
      <c r="H22" s="1">
        <f>IFS(H19=$AD$4,Rules!$G$3,H19=$AD$5,Rules!$G$4,H19=$AD$6,Rules!$G$5,H19=$AD$7,Rules!$G$6,H19=$AD$8,Rules!$G$7,H19="",)</f>
        <v>1</v>
      </c>
      <c r="I22" s="1" t="str">
        <f>IFS(I19=$AD$4,Rules!$G$3,I19=$AD$5,Rules!$G$4,I19=$AD$6,Rules!$G$5,I19=$AD$7,Rules!$G$6,I19=$AD$8,Rules!$G$7,I19="",)</f>
        <v/>
      </c>
      <c r="J22" s="1">
        <f>IFS(J19=$AD$4,Rules!$G$3,J19=$AD$5,Rules!$G$4,J19=$AD$6,Rules!$G$5,J19=$AD$7,Rules!$G$6,J19=$AD$8,Rules!$G$7,J19="",)</f>
        <v>1</v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>
        <f>IFS(N19=$AD$4,Rules!$G$3,N19=$AD$5,Rules!$G$4,N19=$AD$6,Rules!$G$5,N19=$AD$7,Rules!$G$6,N19=$AD$8,Rules!$G$7,N19="",)</f>
        <v>1</v>
      </c>
      <c r="O22" s="1">
        <f>IFS(O19=$AD$4,Rules!$G$3,O19=$AD$5,Rules!$G$4,O19=$AD$6,Rules!$G$5,O19=$AD$7,Rules!$G$6,O19=$AD$8,Rules!$G$7,O19="",)</f>
        <v>1</v>
      </c>
      <c r="P22" s="1" t="str">
        <f>IFS(P19=$AD$4,Rules!$G$3,P19=$AD$5,Rules!$G$4,P19=$AD$6,Rules!$G$5,P19=$AD$7,Rules!$G$6,P19=$AD$8,Rules!$G$7,P19="",)</f>
        <v/>
      </c>
      <c r="Q22" s="1" t="str">
        <f>IFS(Q19=$AD$4,Rules!$G$3,Q19=$AD$5,Rules!$G$4,Q19=$AD$6,Rules!$G$5,Q19=$AD$7,Rules!$G$6,Q19=$AD$8,Rules!$G$7,Q19="",)</f>
        <v/>
      </c>
      <c r="R22" s="1" t="str">
        <f>IFS(R19=$AD$4,Rules!$G$3,R19=$AD$5,Rules!$G$4,R19=$AD$6,Rules!$G$5,R19=$AD$7,Rules!$G$6,R19=$AD$8,Rules!$G$7,R19="",)</f>
        <v/>
      </c>
      <c r="S22" s="1" t="str">
        <f>IFS(S19=$AD$4,Rules!$G$3,S19=$AD$5,Rules!$G$4,S19=$AD$6,Rules!$G$5,S19=$AD$7,Rules!$G$6,S19=$AD$8,Rules!$G$7,S19="",)</f>
        <v/>
      </c>
      <c r="T22" s="1" t="str">
        <f>IFS(T19=$AD$4,Rules!$G$3,T19=$AD$5,Rules!$G$4,T19=$AD$6,Rules!$G$5,T19=$AD$7,Rules!$G$6,T19=$AD$8,Rules!$G$7,T19="",)</f>
        <v/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>
        <f>IFS(F20=$AD$4,Rules!$G$3,F20=$AD$5,Rules!$G$4,F20=$AD$6,Rules!$G$5,F20=$AD$7,Rules!$G$6,F20=$AD$8,Rules!$G$7,F20="",)</f>
        <v>2</v>
      </c>
      <c r="G23" s="1">
        <f>IFS(G20=$AD$4,Rules!$G$3,G20=$AD$5,Rules!$G$4,G20=$AD$6,Rules!$G$5,G20=$AD$7,Rules!$G$6,G20=$AD$8,Rules!$G$7,G20="",)</f>
        <v>1</v>
      </c>
      <c r="H23" s="1" t="str">
        <f>IFS(H20=$AD$4,Rules!$G$3,H20=$AD$5,Rules!$G$4,H20=$AD$6,Rules!$G$5,H20=$AD$7,Rules!$G$6,H20=$AD$8,Rules!$G$7,H20="",)</f>
        <v/>
      </c>
      <c r="I23" s="1" t="str">
        <f>IFS(I20=$AD$4,Rules!$G$3,I20=$AD$5,Rules!$G$4,I20=$AD$6,Rules!$G$5,I20=$AD$7,Rules!$G$6,I20=$AD$8,Rules!$G$7,I20="",)</f>
        <v/>
      </c>
      <c r="J23" s="1" t="str">
        <f>IFS(J20=$AD$4,Rules!$G$3,J20=$AD$5,Rules!$G$4,J20=$AD$6,Rules!$G$5,J20=$AD$7,Rules!$G$6,J20=$AD$8,Rules!$G$7,J20="",)</f>
        <v/>
      </c>
      <c r="K23" s="1" t="str">
        <f>IFS(K20=$AD$4,Rules!$G$3,K20=$AD$5,Rules!$G$4,K20=$AD$6,Rules!$G$5,K20=$AD$7,Rules!$G$6,K20=$AD$8,Rules!$G$7,K20="",)</f>
        <v/>
      </c>
      <c r="L23" s="1"/>
      <c r="M23" s="1">
        <f>IFS(M20=$AD$4,Rules!$G$3,M20=$AD$5,Rules!$G$4,M20=$AD$6,Rules!$G$5,M20=$AD$7,Rules!$G$6,M20=$AD$8,Rules!$G$7,M20="",)</f>
        <v>2</v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>
        <f>IFS(P20=$AD$4,Rules!$G$3,P20=$AD$5,Rules!$G$4,P20=$AD$6,Rules!$G$5,P20=$AD$7,Rules!$G$6,P20=$AD$8,Rules!$G$7,P20="",)</f>
        <v>2</v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>
        <f>IFS(S20=$AD$4,Rules!$G$3,S20=$AD$5,Rules!$G$4,S20=$AD$6,Rules!$G$5,S20=$AD$7,Rules!$G$6,S20=$AD$8,Rules!$G$7,S20="",)</f>
        <v>1</v>
      </c>
      <c r="T23" s="1">
        <f>IFS(T20=$AD$4,Rules!$G$3,T20=$AD$5,Rules!$G$4,T20=$AD$6,Rules!$G$5,T20=$AD$7,Rules!$G$6,T20=$AD$8,Rules!$G$7,T20="",)</f>
        <v>1</v>
      </c>
      <c r="U23" s="1">
        <f>IFS(U20=$AD$4,Rules!$G$3,U20=$AD$5,Rules!$G$4,U20=$AD$6,Rules!$G$5,U20=$AD$7,Rules!$G$6,U20=$AD$8,Rules!$G$7,U20="",)</f>
        <v>1</v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1</v>
      </c>
      <c r="E24" s="1">
        <f t="shared" si="13"/>
        <v>1</v>
      </c>
      <c r="F24" s="1">
        <f t="shared" si="13"/>
        <v>1</v>
      </c>
      <c r="G24" s="1">
        <f t="shared" si="13"/>
        <v>1</v>
      </c>
      <c r="H24" s="1">
        <f t="shared" si="13"/>
        <v>2</v>
      </c>
      <c r="I24" s="1">
        <f t="shared" si="13"/>
        <v>2</v>
      </c>
      <c r="J24" s="1">
        <f t="shared" si="13"/>
        <v>3</v>
      </c>
      <c r="K24" s="1">
        <f t="shared" si="13"/>
        <v>3</v>
      </c>
      <c r="L24" s="1">
        <f t="shared" si="13"/>
        <v>3</v>
      </c>
      <c r="M24" s="1">
        <f t="shared" si="13"/>
        <v>3</v>
      </c>
      <c r="N24" s="1">
        <f t="shared" si="13"/>
        <v>4</v>
      </c>
      <c r="O24" s="1">
        <f t="shared" si="13"/>
        <v>5</v>
      </c>
      <c r="P24" s="1">
        <f t="shared" si="13"/>
        <v>5</v>
      </c>
      <c r="Q24" s="1">
        <f t="shared" si="13"/>
        <v>5</v>
      </c>
      <c r="R24" s="1">
        <f t="shared" si="13"/>
        <v>5</v>
      </c>
      <c r="S24" s="1">
        <f t="shared" si="13"/>
        <v>5</v>
      </c>
      <c r="T24" s="1">
        <f t="shared" si="13"/>
        <v>5</v>
      </c>
      <c r="U24" s="1">
        <f t="shared" si="13"/>
        <v>5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0</v>
      </c>
      <c r="E25" s="1">
        <f t="shared" si="15"/>
        <v>0</v>
      </c>
      <c r="F25" s="1">
        <f t="shared" si="15"/>
        <v>2</v>
      </c>
      <c r="G25" s="1">
        <f t="shared" si="15"/>
        <v>3</v>
      </c>
      <c r="H25" s="1">
        <f t="shared" si="15"/>
        <v>3</v>
      </c>
      <c r="I25" s="1">
        <f t="shared" si="15"/>
        <v>3</v>
      </c>
      <c r="J25" s="1">
        <f t="shared" si="15"/>
        <v>3</v>
      </c>
      <c r="K25" s="1">
        <f t="shared" si="15"/>
        <v>3</v>
      </c>
      <c r="L25" s="1">
        <f t="shared" si="15"/>
        <v>3</v>
      </c>
      <c r="M25" s="1">
        <f t="shared" si="15"/>
        <v>5</v>
      </c>
      <c r="N25" s="1">
        <f t="shared" si="15"/>
        <v>5</v>
      </c>
      <c r="O25" s="1">
        <f t="shared" si="15"/>
        <v>5</v>
      </c>
      <c r="P25" s="1">
        <f t="shared" si="15"/>
        <v>7</v>
      </c>
      <c r="Q25" s="1">
        <f t="shared" si="15"/>
        <v>7</v>
      </c>
      <c r="R25" s="1">
        <f t="shared" si="15"/>
        <v>7</v>
      </c>
      <c r="S25" s="1">
        <f t="shared" si="15"/>
        <v>8</v>
      </c>
      <c r="T25" s="1">
        <f t="shared" si="15"/>
        <v>9</v>
      </c>
      <c r="U25" s="1">
        <f t="shared" si="15"/>
        <v>10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55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46124.0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5.0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3.0</v>
      </c>
      <c r="E4" s="37">
        <v>4.0</v>
      </c>
      <c r="F4" s="37">
        <v>5.0</v>
      </c>
      <c r="G4" s="37">
        <v>4.0</v>
      </c>
      <c r="H4" s="37">
        <v>3.0</v>
      </c>
      <c r="I4" s="37">
        <v>5.0</v>
      </c>
      <c r="J4" s="37">
        <v>4.0</v>
      </c>
      <c r="K4" s="37">
        <v>4.0</v>
      </c>
      <c r="L4" s="94">
        <f t="shared" ref="L4:L5" si="1">SUM(C4:K4)</f>
        <v>36</v>
      </c>
      <c r="M4" s="37">
        <v>4.0</v>
      </c>
      <c r="N4" s="37">
        <v>5.0</v>
      </c>
      <c r="O4" s="37">
        <v>3.0</v>
      </c>
      <c r="P4" s="37">
        <v>4.0</v>
      </c>
      <c r="Q4" s="37">
        <v>4.0</v>
      </c>
      <c r="R4" s="37">
        <v>5.0</v>
      </c>
      <c r="S4" s="37">
        <v>4.0</v>
      </c>
      <c r="T4" s="37">
        <v>3.0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4.0</v>
      </c>
      <c r="D5" s="97">
        <v>4.0</v>
      </c>
      <c r="E5" s="97">
        <v>4.0</v>
      </c>
      <c r="F5" s="97">
        <v>6.0</v>
      </c>
      <c r="G5" s="97">
        <v>5.0</v>
      </c>
      <c r="H5" s="97">
        <v>5.0</v>
      </c>
      <c r="I5" s="97">
        <v>4.0</v>
      </c>
      <c r="J5" s="97">
        <v>5.0</v>
      </c>
      <c r="K5" s="97">
        <v>7.0</v>
      </c>
      <c r="L5" s="98">
        <f t="shared" si="1"/>
        <v>44</v>
      </c>
      <c r="M5" s="97">
        <v>6.0</v>
      </c>
      <c r="N5" s="97">
        <v>7.0</v>
      </c>
      <c r="O5" s="97">
        <v>4.0</v>
      </c>
      <c r="P5" s="97">
        <v>5.0</v>
      </c>
      <c r="Q5" s="97">
        <v>6.0</v>
      </c>
      <c r="R5" s="97">
        <v>7.0</v>
      </c>
      <c r="S5" s="97">
        <v>6.0</v>
      </c>
      <c r="T5" s="97">
        <v>5.0</v>
      </c>
      <c r="U5" s="97">
        <v>5.0</v>
      </c>
      <c r="V5" s="98">
        <f t="shared" si="2"/>
        <v>51</v>
      </c>
      <c r="W5" s="99">
        <f t="shared" si="3"/>
        <v>95</v>
      </c>
      <c r="X5" s="100" t="str">
        <f>IFS(W5&gt;$W$4,"+",$W$4&gt;W5,"")</f>
        <v>+</v>
      </c>
      <c r="Y5" s="100">
        <f>W5-$W$4</f>
        <v>23</v>
      </c>
      <c r="Z5" s="101" t="str">
        <f>X5&amp;Y5</f>
        <v>+23</v>
      </c>
      <c r="AA5" s="1"/>
      <c r="AB5" s="16" t="s">
        <v>41</v>
      </c>
      <c r="AC5" s="44">
        <f>COUNTIF($C$6:$U$6,"🐥")</f>
        <v>1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🧻</v>
      </c>
      <c r="E6" s="103" t="str">
        <f t="shared" si="4"/>
        <v>🚩</v>
      </c>
      <c r="F6" s="103" t="str">
        <f t="shared" si="4"/>
        <v>🧻</v>
      </c>
      <c r="G6" s="103" t="str">
        <f t="shared" si="4"/>
        <v>🧻</v>
      </c>
      <c r="H6" s="103" t="str">
        <f t="shared" si="4"/>
        <v>💩</v>
      </c>
      <c r="I6" s="103" t="str">
        <f t="shared" si="4"/>
        <v>🐥</v>
      </c>
      <c r="J6" s="103" t="str">
        <f t="shared" si="4"/>
        <v>🧻</v>
      </c>
      <c r="K6" s="103" t="str">
        <f t="shared" si="4"/>
        <v>☠️</v>
      </c>
      <c r="L6" s="104"/>
      <c r="M6" s="103" t="str">
        <f t="shared" ref="M6:U6" si="5">IFS(M$4-M5=1,$AD$5,M$4-M5=2,$AD$4,M$4=M5,$AD$6,M$4-M5=-1,$AD$7,M$4-M5=-2,$AD$8,M$4-M5=-3,$AD$9)</f>
        <v>💩</v>
      </c>
      <c r="N6" s="103" t="str">
        <f t="shared" si="5"/>
        <v>💩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💩</v>
      </c>
      <c r="R6" s="103" t="str">
        <f t="shared" si="5"/>
        <v>💩</v>
      </c>
      <c r="S6" s="103" t="str">
        <f t="shared" si="5"/>
        <v>💩</v>
      </c>
      <c r="T6" s="103" t="str">
        <f t="shared" si="5"/>
        <v>💩</v>
      </c>
      <c r="U6" s="103" t="str">
        <f t="shared" si="5"/>
        <v>🧻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2</v>
      </c>
      <c r="AD6" s="17" t="s">
        <v>19</v>
      </c>
      <c r="AE6" s="68">
        <f>COUNTIF($C$8:$U$8,"🚩")</f>
        <v>6</v>
      </c>
    </row>
    <row r="7">
      <c r="A7" s="8"/>
      <c r="B7" s="107" t="str">
        <f>AE3</f>
        <v>Trey</v>
      </c>
      <c r="C7" s="97">
        <v>4.0</v>
      </c>
      <c r="D7" s="97">
        <v>4.0</v>
      </c>
      <c r="E7" s="97">
        <v>5.0</v>
      </c>
      <c r="F7" s="97">
        <v>5.0</v>
      </c>
      <c r="G7" s="97">
        <v>4.0</v>
      </c>
      <c r="H7" s="97">
        <v>4.0</v>
      </c>
      <c r="I7" s="97">
        <v>6.0</v>
      </c>
      <c r="J7" s="97">
        <v>5.0</v>
      </c>
      <c r="K7" s="97">
        <v>5.0</v>
      </c>
      <c r="L7" s="98">
        <f>SUM(C7:K7)</f>
        <v>42</v>
      </c>
      <c r="M7" s="97">
        <v>4.0</v>
      </c>
      <c r="N7" s="97">
        <v>7.0</v>
      </c>
      <c r="O7" s="97">
        <v>4.0</v>
      </c>
      <c r="P7" s="97">
        <v>6.0</v>
      </c>
      <c r="Q7" s="97">
        <v>6.0</v>
      </c>
      <c r="R7" s="97">
        <v>5.0</v>
      </c>
      <c r="S7" s="97">
        <v>4.0</v>
      </c>
      <c r="T7" s="97">
        <v>6.0</v>
      </c>
      <c r="U7" s="97">
        <v>5.0</v>
      </c>
      <c r="V7" s="98">
        <f>SUM(M7:U7)</f>
        <v>47</v>
      </c>
      <c r="W7" s="99">
        <f>SUM(L7+V7)</f>
        <v>89</v>
      </c>
      <c r="X7" s="100" t="str">
        <f>IFS(W7&gt;$W$4,"+",$W$4&gt;W7,"")</f>
        <v>+</v>
      </c>
      <c r="Y7" s="100">
        <f>W7-$W$4</f>
        <v>17</v>
      </c>
      <c r="Z7" s="101" t="str">
        <f>X7&amp;Y7</f>
        <v>+17</v>
      </c>
      <c r="AB7" s="16" t="s">
        <v>43</v>
      </c>
      <c r="AC7" s="44">
        <f>COUNTIF($C$6:$U$6,"🧻")</f>
        <v>7</v>
      </c>
      <c r="AD7" s="17" t="s">
        <v>23</v>
      </c>
      <c r="AE7" s="68">
        <f>COUNTIF($C$8:$U$8,"🧻")</f>
        <v>8</v>
      </c>
    </row>
    <row r="8">
      <c r="A8" s="8"/>
      <c r="B8" s="108"/>
      <c r="C8" s="80" t="str">
        <f t="shared" ref="C8:K8" si="6">IFS(C$4-C7=1,$AD$5,C$4-C7=2,$AD$4,C$4=C7,$AD$6,C$4-C7=-1,$AD$7,C$4-C7=-2,$AD$8,C$4-C7=-3,$AD$9)</f>
        <v>🚩</v>
      </c>
      <c r="D8" s="80" t="str">
        <f t="shared" si="6"/>
        <v>🧻</v>
      </c>
      <c r="E8" s="80" t="str">
        <f t="shared" si="6"/>
        <v>🧻</v>
      </c>
      <c r="F8" s="80" t="str">
        <f t="shared" si="6"/>
        <v>🚩</v>
      </c>
      <c r="G8" s="80" t="str">
        <f t="shared" si="6"/>
        <v>🚩</v>
      </c>
      <c r="H8" s="80" t="str">
        <f t="shared" si="6"/>
        <v>🧻</v>
      </c>
      <c r="I8" s="80" t="str">
        <f t="shared" si="6"/>
        <v>🧻</v>
      </c>
      <c r="J8" s="80" t="str">
        <f t="shared" si="6"/>
        <v>🧻</v>
      </c>
      <c r="K8" s="80" t="str">
        <f t="shared" si="6"/>
        <v>🧻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💩</v>
      </c>
      <c r="O8" s="80" t="str">
        <f t="shared" si="7"/>
        <v>🧻</v>
      </c>
      <c r="P8" s="80" t="str">
        <f t="shared" si="7"/>
        <v>💩</v>
      </c>
      <c r="Q8" s="80" t="str">
        <f t="shared" si="7"/>
        <v>💩</v>
      </c>
      <c r="R8" s="80" t="str">
        <f t="shared" si="7"/>
        <v>🚩</v>
      </c>
      <c r="S8" s="80" t="str">
        <f t="shared" si="7"/>
        <v>🚩</v>
      </c>
      <c r="T8" s="80" t="str">
        <f t="shared" si="7"/>
        <v>☠️</v>
      </c>
      <c r="U8" s="80" t="str">
        <f t="shared" si="7"/>
        <v>🧻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7</v>
      </c>
      <c r="AD8" s="17" t="s">
        <v>27</v>
      </c>
      <c r="AE8" s="68">
        <f>COUNTIF($C$8:$U$8,"💩")</f>
        <v>3</v>
      </c>
    </row>
    <row r="9">
      <c r="V9" s="1"/>
      <c r="W9" s="1"/>
      <c r="AB9" s="19" t="s">
        <v>45</v>
      </c>
      <c r="AC9" s="80">
        <f>COUNTIF($C$6:$U$6,"☠️")</f>
        <v>1</v>
      </c>
      <c r="AD9" s="20" t="s">
        <v>70</v>
      </c>
      <c r="AE9" s="112">
        <f>COUNTIF($C$8:$U$8,"☠️")</f>
        <v>1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4</v>
      </c>
      <c r="AD10" s="113"/>
      <c r="AE10" s="114">
        <f>Count(C23:U23)</f>
        <v>7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4.5</v>
      </c>
      <c r="AD11" s="80"/>
      <c r="AE11" s="112">
        <f>U25</f>
        <v>7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2.5</v>
      </c>
      <c r="AE12" s="120">
        <f>AD12*AD3</f>
        <v>12.5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 t="str">
        <f t="shared" si="8"/>
        <v>AS</v>
      </c>
      <c r="E18" s="1">
        <f t="shared" si="8"/>
        <v>1</v>
      </c>
      <c r="F18" s="1" t="str">
        <f t="shared" si="8"/>
        <v>AS</v>
      </c>
      <c r="G18" s="1">
        <f t="shared" si="8"/>
        <v>1</v>
      </c>
      <c r="H18" s="1">
        <f t="shared" si="8"/>
        <v>2</v>
      </c>
      <c r="I18" s="1" t="str">
        <f t="shared" si="8"/>
        <v>AS</v>
      </c>
      <c r="J18" s="1" t="str">
        <f t="shared" si="8"/>
        <v>AS</v>
      </c>
      <c r="K18" s="1">
        <f t="shared" si="8"/>
        <v>1</v>
      </c>
      <c r="L18" s="1">
        <f t="shared" si="8"/>
        <v>1</v>
      </c>
      <c r="M18" s="1">
        <f t="shared" si="8"/>
        <v>2</v>
      </c>
      <c r="N18" s="1">
        <f t="shared" si="8"/>
        <v>2</v>
      </c>
      <c r="O18" s="1">
        <f t="shared" si="8"/>
        <v>2</v>
      </c>
      <c r="P18" s="1">
        <f t="shared" si="8"/>
        <v>1</v>
      </c>
      <c r="Q18" s="1">
        <f t="shared" si="8"/>
        <v>1</v>
      </c>
      <c r="R18" s="1">
        <f t="shared" si="8"/>
        <v>2</v>
      </c>
      <c r="S18" s="1">
        <f t="shared" si="8"/>
        <v>3</v>
      </c>
      <c r="T18" s="1">
        <f t="shared" si="8"/>
        <v>2.5</v>
      </c>
      <c r="U18" s="1">
        <f t="shared" si="8"/>
        <v>2.5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>🚩</v>
      </c>
      <c r="F19" s="1" t="str">
        <f t="shared" si="9"/>
        <v/>
      </c>
      <c r="G19" s="1" t="str">
        <f t="shared" si="9"/>
        <v/>
      </c>
      <c r="H19" s="1" t="str">
        <f t="shared" si="9"/>
        <v/>
      </c>
      <c r="I19" s="1" t="str">
        <f t="shared" si="9"/>
        <v>🐥</v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/>
      </c>
      <c r="P19" s="1" t="str">
        <f t="shared" si="10"/>
        <v>🧻</v>
      </c>
      <c r="Q19" s="1" t="str">
        <f t="shared" si="10"/>
        <v/>
      </c>
      <c r="R19" s="1" t="str">
        <f t="shared" si="10"/>
        <v/>
      </c>
      <c r="S19" s="1" t="str">
        <f t="shared" si="10"/>
        <v/>
      </c>
      <c r="T19" s="1" t="str">
        <f t="shared" si="10"/>
        <v>💩</v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/>
      </c>
      <c r="E20" s="1" t="str">
        <f t="shared" si="11"/>
        <v/>
      </c>
      <c r="F20" s="1" t="str">
        <f t="shared" si="11"/>
        <v>🚩</v>
      </c>
      <c r="G20" s="1" t="str">
        <f t="shared" si="11"/>
        <v>🚩</v>
      </c>
      <c r="H20" s="1" t="str">
        <f t="shared" si="11"/>
        <v>🧻</v>
      </c>
      <c r="I20" s="1" t="str">
        <f t="shared" si="11"/>
        <v/>
      </c>
      <c r="J20" s="1" t="str">
        <f t="shared" si="11"/>
        <v/>
      </c>
      <c r="K20" s="1" t="str">
        <f t="shared" si="11"/>
        <v>🧻</v>
      </c>
      <c r="L20" s="1"/>
      <c r="M20" s="1" t="str">
        <f t="shared" ref="M20:U20" si="12">IF(M$5&gt;M$7,M8,)</f>
        <v>🚩</v>
      </c>
      <c r="N20" s="1" t="str">
        <f t="shared" si="12"/>
        <v/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>🚩</v>
      </c>
      <c r="S20" s="1" t="str">
        <f t="shared" si="12"/>
        <v>🚩</v>
      </c>
      <c r="T20" s="1" t="str">
        <f t="shared" si="12"/>
        <v/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>
        <f>IFS(E19=$AD$4,Rules!$G$3,E19=$AD$5,Rules!$G$4,E19=$AD$6,Rules!$G$5,E19=$AD$7,Rules!$G$6,E19=$AD$8,Rules!$G$7,E19="",)</f>
        <v>1</v>
      </c>
      <c r="F22" s="1" t="str">
        <f>IFS(F19=$AD$4,Rules!$G$3,F19=$AD$5,Rules!$G$4,F19=$AD$6,Rules!$G$5,F19=$AD$7,Rules!$G$6,F19=$AD$8,Rules!$G$7,F19="",)</f>
        <v/>
      </c>
      <c r="G22" s="1" t="str">
        <f>IFS(G19=$AD$4,Rules!$G$3,G19=$AD$5,Rules!$G$4,G19=$AD$6,Rules!$G$5,G19=$AD$7,Rules!$G$6,G19=$AD$8,Rules!$G$7,G19="",)</f>
        <v/>
      </c>
      <c r="H22" s="1" t="str">
        <f>IFS(H19=$AD$4,Rules!$G$3,H19=$AD$5,Rules!$G$4,H19=$AD$6,Rules!$G$5,H19=$AD$7,Rules!$G$6,H19=$AD$8,Rules!$G$7,H19="",)</f>
        <v/>
      </c>
      <c r="I22" s="1">
        <f>IFS(I19=$AD$4,Rules!$G$3,I19=$AD$5,Rules!$G$4,I19=$AD$6,Rules!$G$5,I19=$AD$7,Rules!$G$6,I19=$AD$8,Rules!$G$7,I19="",)</f>
        <v>2</v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 t="str">
        <f>IFS(O19=$AD$4,Rules!$G$3,O19=$AD$5,Rules!$G$4,O19=$AD$6,Rules!$G$5,O19=$AD$7,Rules!$G$6,O19=$AD$8,Rules!$G$7,O19="",)</f>
        <v/>
      </c>
      <c r="P22" s="1">
        <f>IFS(P19=$AD$4,Rules!$G$3,P19=$AD$5,Rules!$G$4,P19=$AD$6,Rules!$G$5,P19=$AD$7,Rules!$G$6,P19=$AD$8,Rules!$G$7,P19="",)</f>
        <v>1</v>
      </c>
      <c r="Q22" s="1" t="str">
        <f>IFS(Q19=$AD$4,Rules!$G$3,Q19=$AD$5,Rules!$G$4,Q19=$AD$6,Rules!$G$5,Q19=$AD$7,Rules!$G$6,Q19=$AD$8,Rules!$G$7,Q19="",)</f>
        <v/>
      </c>
      <c r="R22" s="1" t="str">
        <f>IFS(R19=$AD$4,Rules!$G$3,R19=$AD$5,Rules!$G$4,R19=$AD$6,Rules!$G$5,R19=$AD$7,Rules!$G$6,R19=$AD$8,Rules!$G$7,R19="",)</f>
        <v/>
      </c>
      <c r="S22" s="1" t="str">
        <f>IFS(S19=$AD$4,Rules!$G$3,S19=$AD$5,Rules!$G$4,S19=$AD$6,Rules!$G$5,S19=$AD$7,Rules!$G$6,S19=$AD$8,Rules!$G$7,S19="",)</f>
        <v/>
      </c>
      <c r="T22" s="1">
        <f>IFS(T19=$AD$4,Rules!$G$3,T19=$AD$5,Rules!$G$4,T19=$AD$6,Rules!$G$5,T19=$AD$7,Rules!$G$6,T19=$AD$8,Rules!$G$7,T19="",)</f>
        <v>0.5</v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>
        <f>IFS(F20=$AD$4,Rules!$G$3,F20=$AD$5,Rules!$G$4,F20=$AD$6,Rules!$G$5,F20=$AD$7,Rules!$G$6,F20=$AD$8,Rules!$G$7,F20="",)</f>
        <v>1</v>
      </c>
      <c r="G23" s="1">
        <f>IFS(G20=$AD$4,Rules!$G$3,G20=$AD$5,Rules!$G$4,G20=$AD$6,Rules!$G$5,G20=$AD$7,Rules!$G$6,G20=$AD$8,Rules!$G$7,G20="",)</f>
        <v>1</v>
      </c>
      <c r="H23" s="1">
        <f>IFS(H20=$AD$4,Rules!$G$3,H20=$AD$5,Rules!$G$4,H20=$AD$6,Rules!$G$5,H20=$AD$7,Rules!$G$6,H20=$AD$8,Rules!$G$7,H20="",)</f>
        <v>1</v>
      </c>
      <c r="I23" s="1" t="str">
        <f>IFS(I20=$AD$4,Rules!$G$3,I20=$AD$5,Rules!$G$4,I20=$AD$6,Rules!$G$5,I20=$AD$7,Rules!$G$6,I20=$AD$8,Rules!$G$7,I20="",)</f>
        <v/>
      </c>
      <c r="J23" s="1" t="str">
        <f>IFS(J20=$AD$4,Rules!$G$3,J20=$AD$5,Rules!$G$4,J20=$AD$6,Rules!$G$5,J20=$AD$7,Rules!$G$6,J20=$AD$8,Rules!$G$7,J20="",)</f>
        <v/>
      </c>
      <c r="K23" s="1">
        <f>IFS(K20=$AD$4,Rules!$G$3,K20=$AD$5,Rules!$G$4,K20=$AD$6,Rules!$G$5,K20=$AD$7,Rules!$G$6,K20=$AD$8,Rules!$G$7,K20="",)</f>
        <v>1</v>
      </c>
      <c r="L23" s="1"/>
      <c r="M23" s="1">
        <f>IFS(M20=$AD$4,Rules!$G$3,M20=$AD$5,Rules!$G$4,M20=$AD$6,Rules!$G$5,M20=$AD$7,Rules!$G$6,M20=$AD$8,Rules!$G$7,M20="",)</f>
        <v>1</v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 t="str">
        <f>IFS(Q20=$AD$4,Rules!$G$3,Q20=$AD$5,Rules!$G$4,Q20=$AD$6,Rules!$G$5,Q20=$AD$7,Rules!$G$6,Q20=$AD$8,Rules!$G$7,Q20="",)</f>
        <v/>
      </c>
      <c r="R23" s="1">
        <f>IFS(R20=$AD$4,Rules!$G$3,R20=$AD$5,Rules!$G$4,R20=$AD$6,Rules!$G$5,R20=$AD$7,Rules!$G$6,R20=$AD$8,Rules!$G$7,R20="",)</f>
        <v>1</v>
      </c>
      <c r="S23" s="1">
        <f>IFS(S20=$AD$4,Rules!$G$3,S20=$AD$5,Rules!$G$4,S20=$AD$6,Rules!$G$5,S20=$AD$7,Rules!$G$6,S20=$AD$8,Rules!$G$7,S20="",)</f>
        <v>1</v>
      </c>
      <c r="T23" s="1" t="str">
        <f>IFS(T20=$AD$4,Rules!$G$3,T20=$AD$5,Rules!$G$4,T20=$AD$6,Rules!$G$5,T20=$AD$7,Rules!$G$6,T20=$AD$8,Rules!$G$7,T20="",)</f>
        <v/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1</v>
      </c>
      <c r="F24" s="1">
        <f t="shared" si="13"/>
        <v>1</v>
      </c>
      <c r="G24" s="1">
        <f t="shared" si="13"/>
        <v>1</v>
      </c>
      <c r="H24" s="1">
        <f t="shared" si="13"/>
        <v>1</v>
      </c>
      <c r="I24" s="1">
        <f t="shared" si="13"/>
        <v>3</v>
      </c>
      <c r="J24" s="1">
        <f t="shared" si="13"/>
        <v>3</v>
      </c>
      <c r="K24" s="1">
        <f t="shared" si="13"/>
        <v>3</v>
      </c>
      <c r="L24" s="1">
        <f t="shared" si="13"/>
        <v>3</v>
      </c>
      <c r="M24" s="1">
        <f t="shared" si="13"/>
        <v>3</v>
      </c>
      <c r="N24" s="1">
        <f t="shared" si="13"/>
        <v>3</v>
      </c>
      <c r="O24" s="1">
        <f t="shared" si="13"/>
        <v>3</v>
      </c>
      <c r="P24" s="1">
        <f t="shared" si="13"/>
        <v>4</v>
      </c>
      <c r="Q24" s="1">
        <f t="shared" si="13"/>
        <v>4</v>
      </c>
      <c r="R24" s="1">
        <f t="shared" si="13"/>
        <v>4</v>
      </c>
      <c r="S24" s="1">
        <f t="shared" si="13"/>
        <v>4</v>
      </c>
      <c r="T24" s="1">
        <f t="shared" si="13"/>
        <v>4.5</v>
      </c>
      <c r="U24" s="1">
        <f t="shared" si="13"/>
        <v>4.5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0</v>
      </c>
      <c r="E25" s="1">
        <f t="shared" si="15"/>
        <v>0</v>
      </c>
      <c r="F25" s="1">
        <f t="shared" si="15"/>
        <v>1</v>
      </c>
      <c r="G25" s="1">
        <f t="shared" si="15"/>
        <v>2</v>
      </c>
      <c r="H25" s="1">
        <f t="shared" si="15"/>
        <v>3</v>
      </c>
      <c r="I25" s="1">
        <f t="shared" si="15"/>
        <v>3</v>
      </c>
      <c r="J25" s="1">
        <f t="shared" si="15"/>
        <v>3</v>
      </c>
      <c r="K25" s="1">
        <f t="shared" si="15"/>
        <v>4</v>
      </c>
      <c r="L25" s="1">
        <f t="shared" si="15"/>
        <v>4</v>
      </c>
      <c r="M25" s="1">
        <f t="shared" si="15"/>
        <v>5</v>
      </c>
      <c r="N25" s="1">
        <f t="shared" si="15"/>
        <v>5</v>
      </c>
      <c r="O25" s="1">
        <f t="shared" si="15"/>
        <v>5</v>
      </c>
      <c r="P25" s="1">
        <f t="shared" si="15"/>
        <v>5</v>
      </c>
      <c r="Q25" s="1">
        <f t="shared" si="15"/>
        <v>5</v>
      </c>
      <c r="R25" s="1">
        <f t="shared" si="15"/>
        <v>6</v>
      </c>
      <c r="S25" s="1">
        <f t="shared" si="15"/>
        <v>7</v>
      </c>
      <c r="T25" s="1">
        <f t="shared" si="15"/>
        <v>7</v>
      </c>
      <c r="U25" s="1">
        <f t="shared" si="15"/>
        <v>7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54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1">
        <v>46116.0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5.0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4.0</v>
      </c>
      <c r="E4" s="37">
        <v>4.0</v>
      </c>
      <c r="F4" s="37">
        <v>4.0</v>
      </c>
      <c r="G4" s="37">
        <v>4.0</v>
      </c>
      <c r="H4" s="37">
        <v>3.0</v>
      </c>
      <c r="I4" s="37">
        <v>5.0</v>
      </c>
      <c r="J4" s="37">
        <v>3.0</v>
      </c>
      <c r="K4" s="37">
        <v>5.0</v>
      </c>
      <c r="L4" s="94">
        <f t="shared" ref="L4:L5" si="1">SUM(C4:K4)</f>
        <v>36</v>
      </c>
      <c r="M4" s="37">
        <v>4.0</v>
      </c>
      <c r="N4" s="37">
        <v>5.0</v>
      </c>
      <c r="O4" s="37">
        <v>4.0</v>
      </c>
      <c r="P4" s="37">
        <v>4.0</v>
      </c>
      <c r="Q4" s="37">
        <v>3.0</v>
      </c>
      <c r="R4" s="37">
        <v>5.0</v>
      </c>
      <c r="S4" s="37">
        <v>4.0</v>
      </c>
      <c r="T4" s="37">
        <v>3.0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4.0</v>
      </c>
      <c r="D5" s="97">
        <v>6.0</v>
      </c>
      <c r="E5" s="97">
        <v>4.0</v>
      </c>
      <c r="F5" s="97">
        <v>5.0</v>
      </c>
      <c r="G5" s="97">
        <v>4.0</v>
      </c>
      <c r="H5" s="97">
        <v>4.0</v>
      </c>
      <c r="I5" s="97">
        <v>6.0</v>
      </c>
      <c r="J5" s="97">
        <v>3.0</v>
      </c>
      <c r="K5" s="97">
        <v>7.0</v>
      </c>
      <c r="L5" s="98">
        <f t="shared" si="1"/>
        <v>43</v>
      </c>
      <c r="M5" s="97">
        <v>4.0</v>
      </c>
      <c r="N5" s="97">
        <v>6.0</v>
      </c>
      <c r="O5" s="97">
        <v>5.0</v>
      </c>
      <c r="P5" s="97">
        <v>5.0</v>
      </c>
      <c r="Q5" s="97">
        <v>4.0</v>
      </c>
      <c r="R5" s="97">
        <v>5.0</v>
      </c>
      <c r="S5" s="97">
        <v>5.0</v>
      </c>
      <c r="T5" s="97">
        <v>4.0</v>
      </c>
      <c r="U5" s="97">
        <v>5.0</v>
      </c>
      <c r="V5" s="98">
        <f t="shared" si="2"/>
        <v>43</v>
      </c>
      <c r="W5" s="99">
        <f t="shared" si="3"/>
        <v>86</v>
      </c>
      <c r="X5" s="100" t="str">
        <f>IFS(W5&gt;$W$4,"+",$W$4&gt;W5,"")</f>
        <v>+</v>
      </c>
      <c r="Y5" s="100">
        <f>W5-$W$4</f>
        <v>14</v>
      </c>
      <c r="Z5" s="101" t="str">
        <f>X5&amp;Y5</f>
        <v>+14</v>
      </c>
      <c r="AA5" s="1"/>
      <c r="AB5" s="16" t="s">
        <v>41</v>
      </c>
      <c r="AC5" s="44">
        <f>COUNTIF($C$6:$U$6,"🐥")</f>
        <v>0</v>
      </c>
      <c r="AD5" s="17" t="s">
        <v>15</v>
      </c>
      <c r="AE5" s="68">
        <f>COUNTIF($C$8:$U$8,"🐥")</f>
        <v>1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💩</v>
      </c>
      <c r="E6" s="103" t="str">
        <f t="shared" si="4"/>
        <v>🚩</v>
      </c>
      <c r="F6" s="103" t="str">
        <f t="shared" si="4"/>
        <v>🧻</v>
      </c>
      <c r="G6" s="103" t="str">
        <f t="shared" si="4"/>
        <v>🚩</v>
      </c>
      <c r="H6" s="103" t="str">
        <f t="shared" si="4"/>
        <v>🧻</v>
      </c>
      <c r="I6" s="103" t="str">
        <f t="shared" si="4"/>
        <v>🧻</v>
      </c>
      <c r="J6" s="103" t="str">
        <f t="shared" si="4"/>
        <v>🚩</v>
      </c>
      <c r="K6" s="103" t="str">
        <f t="shared" si="4"/>
        <v>💩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🧻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🧻</v>
      </c>
      <c r="R6" s="103" t="str">
        <f t="shared" si="5"/>
        <v>🚩</v>
      </c>
      <c r="S6" s="103" t="str">
        <f t="shared" si="5"/>
        <v>🧻</v>
      </c>
      <c r="T6" s="103" t="str">
        <f t="shared" si="5"/>
        <v>🧻</v>
      </c>
      <c r="U6" s="103" t="str">
        <f t="shared" si="5"/>
        <v>🧻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6</v>
      </c>
      <c r="AD6" s="17" t="s">
        <v>19</v>
      </c>
      <c r="AE6" s="68">
        <f>COUNTIF($C$8:$U$8,"🚩")</f>
        <v>9</v>
      </c>
    </row>
    <row r="7">
      <c r="A7" s="8"/>
      <c r="B7" s="107" t="str">
        <f>AE3</f>
        <v>Trey</v>
      </c>
      <c r="C7" s="97">
        <v>4.0</v>
      </c>
      <c r="D7" s="97">
        <v>4.0</v>
      </c>
      <c r="E7" s="97">
        <v>5.0</v>
      </c>
      <c r="F7" s="97">
        <v>4.0</v>
      </c>
      <c r="G7" s="97">
        <v>4.0</v>
      </c>
      <c r="H7" s="97">
        <v>4.0</v>
      </c>
      <c r="I7" s="97">
        <v>5.0</v>
      </c>
      <c r="J7" s="97">
        <v>4.0</v>
      </c>
      <c r="K7" s="97">
        <v>5.0</v>
      </c>
      <c r="L7" s="98">
        <f>SUM(C7:K7)</f>
        <v>39</v>
      </c>
      <c r="M7" s="97">
        <v>4.0</v>
      </c>
      <c r="N7" s="97">
        <v>6.0</v>
      </c>
      <c r="O7" s="97">
        <v>4.0</v>
      </c>
      <c r="P7" s="97">
        <v>5.0</v>
      </c>
      <c r="Q7" s="97">
        <v>2.0</v>
      </c>
      <c r="R7" s="97">
        <v>5.0</v>
      </c>
      <c r="S7" s="97">
        <v>6.0</v>
      </c>
      <c r="T7" s="97">
        <v>5.0</v>
      </c>
      <c r="U7" s="97">
        <v>5.0</v>
      </c>
      <c r="V7" s="98">
        <f>SUM(M7:U7)</f>
        <v>42</v>
      </c>
      <c r="W7" s="99">
        <f>SUM(L7+V7)</f>
        <v>81</v>
      </c>
      <c r="X7" s="100" t="str">
        <f>IFS(W7&gt;$W$4,"+",$W$4&gt;W7,"")</f>
        <v>+</v>
      </c>
      <c r="Y7" s="100">
        <f>W7-$W$4</f>
        <v>9</v>
      </c>
      <c r="Z7" s="101" t="str">
        <f>X7&amp;Y7</f>
        <v>+9</v>
      </c>
      <c r="AB7" s="16" t="s">
        <v>43</v>
      </c>
      <c r="AC7" s="44">
        <f>COUNTIF($C$6:$U$6,"🧻")</f>
        <v>10</v>
      </c>
      <c r="AD7" s="17" t="s">
        <v>23</v>
      </c>
      <c r="AE7" s="68">
        <f>COUNTIF($C$8:$U$8,"🧻")</f>
        <v>6</v>
      </c>
    </row>
    <row r="8">
      <c r="A8" s="8"/>
      <c r="B8" s="108"/>
      <c r="C8" s="80" t="str">
        <f t="shared" ref="C8:K8" si="6">IFS(C$4-C7=1,$AD$5,C$4-C7=2,$AD$4,C$4=C7,$AD$6,C$4-C7=-1,$AD$7,C$4-C7=-2,$AD$8,C$4-C7=-3,$AD$9)</f>
        <v>🚩</v>
      </c>
      <c r="D8" s="80" t="str">
        <f t="shared" si="6"/>
        <v>🚩</v>
      </c>
      <c r="E8" s="80" t="str">
        <f t="shared" si="6"/>
        <v>🧻</v>
      </c>
      <c r="F8" s="80" t="str">
        <f t="shared" si="6"/>
        <v>🚩</v>
      </c>
      <c r="G8" s="80" t="str">
        <f t="shared" si="6"/>
        <v>🚩</v>
      </c>
      <c r="H8" s="80" t="str">
        <f t="shared" si="6"/>
        <v>🧻</v>
      </c>
      <c r="I8" s="80" t="str">
        <f t="shared" si="6"/>
        <v>🚩</v>
      </c>
      <c r="J8" s="80" t="str">
        <f t="shared" si="6"/>
        <v>🧻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🧻</v>
      </c>
      <c r="O8" s="80" t="str">
        <f t="shared" si="7"/>
        <v>🚩</v>
      </c>
      <c r="P8" s="80" t="str">
        <f t="shared" si="7"/>
        <v>🧻</v>
      </c>
      <c r="Q8" s="80" t="str">
        <f t="shared" si="7"/>
        <v>🐥</v>
      </c>
      <c r="R8" s="80" t="str">
        <f t="shared" si="7"/>
        <v>🚩</v>
      </c>
      <c r="S8" s="80" t="str">
        <f t="shared" si="7"/>
        <v>💩</v>
      </c>
      <c r="T8" s="80" t="str">
        <f t="shared" si="7"/>
        <v>💩</v>
      </c>
      <c r="U8" s="80" t="str">
        <f t="shared" si="7"/>
        <v>🧻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2</v>
      </c>
      <c r="AD8" s="17" t="s">
        <v>27</v>
      </c>
      <c r="AE8" s="68">
        <f>COUNTIF($C$8:$U$8,"💩")</f>
        <v>2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0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4</v>
      </c>
      <c r="AD10" s="113"/>
      <c r="AE10" s="114">
        <f>Count(C23:U23)</f>
        <v>6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4</v>
      </c>
      <c r="AD11" s="80"/>
      <c r="AE11" s="112">
        <f>U25</f>
        <v>7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3</v>
      </c>
      <c r="AE12" s="120">
        <f>AD12*AD3</f>
        <v>15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>
        <f t="shared" si="8"/>
        <v>1</v>
      </c>
      <c r="E18" s="1" t="str">
        <f t="shared" si="8"/>
        <v>AS</v>
      </c>
      <c r="F18" s="1">
        <f t="shared" si="8"/>
        <v>1</v>
      </c>
      <c r="G18" s="1">
        <f t="shared" si="8"/>
        <v>1</v>
      </c>
      <c r="H18" s="1">
        <f t="shared" si="8"/>
        <v>1</v>
      </c>
      <c r="I18" s="1">
        <f t="shared" si="8"/>
        <v>2</v>
      </c>
      <c r="J18" s="1">
        <f t="shared" si="8"/>
        <v>1</v>
      </c>
      <c r="K18" s="1">
        <f t="shared" si="8"/>
        <v>2</v>
      </c>
      <c r="L18" s="1">
        <f t="shared" si="8"/>
        <v>2</v>
      </c>
      <c r="M18" s="1">
        <f t="shared" si="8"/>
        <v>2</v>
      </c>
      <c r="N18" s="1">
        <f t="shared" si="8"/>
        <v>2</v>
      </c>
      <c r="O18" s="1">
        <f t="shared" si="8"/>
        <v>3</v>
      </c>
      <c r="P18" s="1">
        <f t="shared" si="8"/>
        <v>3</v>
      </c>
      <c r="Q18" s="1">
        <f t="shared" si="8"/>
        <v>5</v>
      </c>
      <c r="R18" s="1">
        <f t="shared" si="8"/>
        <v>5</v>
      </c>
      <c r="S18" s="1">
        <f t="shared" si="8"/>
        <v>4</v>
      </c>
      <c r="T18" s="1">
        <f t="shared" si="8"/>
        <v>3</v>
      </c>
      <c r="U18" s="1">
        <f t="shared" si="8"/>
        <v>3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>🚩</v>
      </c>
      <c r="F19" s="1" t="str">
        <f t="shared" si="9"/>
        <v/>
      </c>
      <c r="G19" s="1" t="str">
        <f t="shared" si="9"/>
        <v/>
      </c>
      <c r="H19" s="1" t="str">
        <f t="shared" si="9"/>
        <v/>
      </c>
      <c r="I19" s="1" t="str">
        <f t="shared" si="9"/>
        <v/>
      </c>
      <c r="J19" s="1" t="str">
        <f t="shared" si="9"/>
        <v>🚩</v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/>
      </c>
      <c r="P19" s="1" t="str">
        <f t="shared" si="10"/>
        <v/>
      </c>
      <c r="Q19" s="1" t="str">
        <f t="shared" si="10"/>
        <v/>
      </c>
      <c r="R19" s="1" t="str">
        <f t="shared" si="10"/>
        <v/>
      </c>
      <c r="S19" s="1" t="str">
        <f t="shared" si="10"/>
        <v>🧻</v>
      </c>
      <c r="T19" s="1" t="str">
        <f t="shared" si="10"/>
        <v>🧻</v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>🚩</v>
      </c>
      <c r="E20" s="1" t="str">
        <f t="shared" si="11"/>
        <v/>
      </c>
      <c r="F20" s="1" t="str">
        <f t="shared" si="11"/>
        <v>🚩</v>
      </c>
      <c r="G20" s="1" t="str">
        <f t="shared" si="11"/>
        <v/>
      </c>
      <c r="H20" s="1" t="str">
        <f t="shared" si="11"/>
        <v/>
      </c>
      <c r="I20" s="1" t="str">
        <f t="shared" si="11"/>
        <v>🚩</v>
      </c>
      <c r="J20" s="1" t="str">
        <f t="shared" si="11"/>
        <v/>
      </c>
      <c r="K20" s="1" t="str">
        <f t="shared" si="11"/>
        <v>🚩</v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>🚩</v>
      </c>
      <c r="P20" s="1" t="str">
        <f t="shared" si="12"/>
        <v/>
      </c>
      <c r="Q20" s="1" t="str">
        <f t="shared" si="12"/>
        <v>🐥</v>
      </c>
      <c r="R20" s="1" t="str">
        <f t="shared" si="12"/>
        <v/>
      </c>
      <c r="S20" s="1" t="str">
        <f t="shared" si="12"/>
        <v/>
      </c>
      <c r="T20" s="1" t="str">
        <f t="shared" si="12"/>
        <v/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>
        <f>IFS(E19=$AD$4,Rules!$G$3,E19=$AD$5,Rules!$G$4,E19=$AD$6,Rules!$G$5,E19=$AD$7,Rules!$G$6,E19=$AD$8,Rules!$G$7,E19="",)</f>
        <v>1</v>
      </c>
      <c r="F22" s="1" t="str">
        <f>IFS(F19=$AD$4,Rules!$G$3,F19=$AD$5,Rules!$G$4,F19=$AD$6,Rules!$G$5,F19=$AD$7,Rules!$G$6,F19=$AD$8,Rules!$G$7,F19="",)</f>
        <v/>
      </c>
      <c r="G22" s="1" t="str">
        <f>IFS(G19=$AD$4,Rules!$G$3,G19=$AD$5,Rules!$G$4,G19=$AD$6,Rules!$G$5,G19=$AD$7,Rules!$G$6,G19=$AD$8,Rules!$G$7,G19="",)</f>
        <v/>
      </c>
      <c r="H22" s="1" t="str">
        <f>IFS(H19=$AD$4,Rules!$G$3,H19=$AD$5,Rules!$G$4,H19=$AD$6,Rules!$G$5,H19=$AD$7,Rules!$G$6,H19=$AD$8,Rules!$G$7,H19="",)</f>
        <v/>
      </c>
      <c r="I22" s="1" t="str">
        <f>IFS(I19=$AD$4,Rules!$G$3,I19=$AD$5,Rules!$G$4,I19=$AD$6,Rules!$G$5,I19=$AD$7,Rules!$G$6,I19=$AD$8,Rules!$G$7,I19="",)</f>
        <v/>
      </c>
      <c r="J22" s="1">
        <f>IFS(J19=$AD$4,Rules!$G$3,J19=$AD$5,Rules!$G$4,J19=$AD$6,Rules!$G$5,J19=$AD$7,Rules!$G$6,J19=$AD$8,Rules!$G$7,J19="",)</f>
        <v>1</v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 t="str">
        <f>IFS(O19=$AD$4,Rules!$G$3,O19=$AD$5,Rules!$G$4,O19=$AD$6,Rules!$G$5,O19=$AD$7,Rules!$G$6,O19=$AD$8,Rules!$G$7,O19="",)</f>
        <v/>
      </c>
      <c r="P22" s="1" t="str">
        <f>IFS(P19=$AD$4,Rules!$G$3,P19=$AD$5,Rules!$G$4,P19=$AD$6,Rules!$G$5,P19=$AD$7,Rules!$G$6,P19=$AD$8,Rules!$G$7,P19="",)</f>
        <v/>
      </c>
      <c r="Q22" s="1" t="str">
        <f>IFS(Q19=$AD$4,Rules!$G$3,Q19=$AD$5,Rules!$G$4,Q19=$AD$6,Rules!$G$5,Q19=$AD$7,Rules!$G$6,Q19=$AD$8,Rules!$G$7,Q19="",)</f>
        <v/>
      </c>
      <c r="R22" s="1" t="str">
        <f>IFS(R19=$AD$4,Rules!$G$3,R19=$AD$5,Rules!$G$4,R19=$AD$6,Rules!$G$5,R19=$AD$7,Rules!$G$6,R19=$AD$8,Rules!$G$7,R19="",)</f>
        <v/>
      </c>
      <c r="S22" s="1">
        <f>IFS(S19=$AD$4,Rules!$G$3,S19=$AD$5,Rules!$G$4,S19=$AD$6,Rules!$G$5,S19=$AD$7,Rules!$G$6,S19=$AD$8,Rules!$G$7,S19="",)</f>
        <v>1</v>
      </c>
      <c r="T22" s="1">
        <f>IFS(T19=$AD$4,Rules!$G$3,T19=$AD$5,Rules!$G$4,T19=$AD$6,Rules!$G$5,T19=$AD$7,Rules!$G$6,T19=$AD$8,Rules!$G$7,T19="",)</f>
        <v>1</v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>
        <f>IFS(D20=$AD$4,Rules!$G$3,D20=$AD$5,Rules!$G$4,D20=$AD$6,Rules!$G$5,D20=$AD$7,Rules!$G$6,D20=$AD$8,Rules!$G$7,D20="",)</f>
        <v>1</v>
      </c>
      <c r="E23" s="1" t="str">
        <f>IFS(E20=$AD$4,Rules!$G$3,E20=$AD$5,Rules!$G$4,E20=$AD$6,Rules!$G$5,E20=$AD$7,Rules!$G$6,E20=$AD$8,Rules!$G$7,E20="",)</f>
        <v/>
      </c>
      <c r="F23" s="1">
        <f>IFS(F20=$AD$4,Rules!$G$3,F20=$AD$5,Rules!$G$4,F20=$AD$6,Rules!$G$5,F20=$AD$7,Rules!$G$6,F20=$AD$8,Rules!$G$7,F20="",)</f>
        <v>1</v>
      </c>
      <c r="G23" s="1" t="str">
        <f>IFS(G20=$AD$4,Rules!$G$3,G20=$AD$5,Rules!$G$4,G20=$AD$6,Rules!$G$5,G20=$AD$7,Rules!$G$6,G20=$AD$8,Rules!$G$7,G20="",)</f>
        <v/>
      </c>
      <c r="H23" s="1" t="str">
        <f>IFS(H20=$AD$4,Rules!$G$3,H20=$AD$5,Rules!$G$4,H20=$AD$6,Rules!$G$5,H20=$AD$7,Rules!$G$6,H20=$AD$8,Rules!$G$7,H20="",)</f>
        <v/>
      </c>
      <c r="I23" s="1">
        <f>IFS(I20=$AD$4,Rules!$G$3,I20=$AD$5,Rules!$G$4,I20=$AD$6,Rules!$G$5,I20=$AD$7,Rules!$G$6,I20=$AD$8,Rules!$G$7,I20="",)</f>
        <v>1</v>
      </c>
      <c r="J23" s="1" t="str">
        <f>IFS(J20=$AD$4,Rules!$G$3,J20=$AD$5,Rules!$G$4,J20=$AD$6,Rules!$G$5,J20=$AD$7,Rules!$G$6,J20=$AD$8,Rules!$G$7,J20="",)</f>
        <v/>
      </c>
      <c r="K23" s="1">
        <f>IFS(K20=$AD$4,Rules!$G$3,K20=$AD$5,Rules!$G$4,K20=$AD$6,Rules!$G$5,K20=$AD$7,Rules!$G$6,K20=$AD$8,Rules!$G$7,K20="",)</f>
        <v>1</v>
      </c>
      <c r="L23" s="1"/>
      <c r="M23" s="1" t="str">
        <f>IFS(M20=$AD$4,Rules!$G$3,M20=$AD$5,Rules!$G$4,M20=$AD$6,Rules!$G$5,M20=$AD$7,Rules!$G$6,M20=$AD$8,Rules!$G$7,M20="",)</f>
        <v/>
      </c>
      <c r="N23" s="1" t="str">
        <f>IFS(N20=$AD$4,Rules!$G$3,N20=$AD$5,Rules!$G$4,N20=$AD$6,Rules!$G$5,N20=$AD$7,Rules!$G$6,N20=$AD$8,Rules!$G$7,N20="",)</f>
        <v/>
      </c>
      <c r="O23" s="1">
        <f>IFS(O20=$AD$4,Rules!$G$3,O20=$AD$5,Rules!$G$4,O20=$AD$6,Rules!$G$5,O20=$AD$7,Rules!$G$6,O20=$AD$8,Rules!$G$7,O20="",)</f>
        <v>1</v>
      </c>
      <c r="P23" s="1" t="str">
        <f>IFS(P20=$AD$4,Rules!$G$3,P20=$AD$5,Rules!$G$4,P20=$AD$6,Rules!$G$5,P20=$AD$7,Rules!$G$6,P20=$AD$8,Rules!$G$7,P20="",)</f>
        <v/>
      </c>
      <c r="Q23" s="1">
        <f>IFS(Q20=$AD$4,Rules!$G$3,Q20=$AD$5,Rules!$G$4,Q20=$AD$6,Rules!$G$5,Q20=$AD$7,Rules!$G$6,Q20=$AD$8,Rules!$G$7,Q20="",)</f>
        <v>2</v>
      </c>
      <c r="R23" s="1" t="str">
        <f>IFS(R20=$AD$4,Rules!$G$3,R20=$AD$5,Rules!$G$4,R20=$AD$6,Rules!$G$5,R20=$AD$7,Rules!$G$6,R20=$AD$8,Rules!$G$7,R20="",)</f>
        <v/>
      </c>
      <c r="S23" s="1" t="str">
        <f>IFS(S20=$AD$4,Rules!$G$3,S20=$AD$5,Rules!$G$4,S20=$AD$6,Rules!$G$5,S20=$AD$7,Rules!$G$6,S20=$AD$8,Rules!$G$7,S20="",)</f>
        <v/>
      </c>
      <c r="T23" s="1" t="str">
        <f>IFS(T20=$AD$4,Rules!$G$3,T20=$AD$5,Rules!$G$4,T20=$AD$6,Rules!$G$5,T20=$AD$7,Rules!$G$6,T20=$AD$8,Rules!$G$7,T20="",)</f>
        <v/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1</v>
      </c>
      <c r="F24" s="1">
        <f t="shared" si="13"/>
        <v>1</v>
      </c>
      <c r="G24" s="1">
        <f t="shared" si="13"/>
        <v>1</v>
      </c>
      <c r="H24" s="1">
        <f t="shared" si="13"/>
        <v>1</v>
      </c>
      <c r="I24" s="1">
        <f t="shared" si="13"/>
        <v>1</v>
      </c>
      <c r="J24" s="1">
        <f t="shared" si="13"/>
        <v>2</v>
      </c>
      <c r="K24" s="1">
        <f t="shared" si="13"/>
        <v>2</v>
      </c>
      <c r="L24" s="1">
        <f t="shared" si="13"/>
        <v>2</v>
      </c>
      <c r="M24" s="1">
        <f t="shared" si="13"/>
        <v>2</v>
      </c>
      <c r="N24" s="1">
        <f t="shared" si="13"/>
        <v>2</v>
      </c>
      <c r="O24" s="1">
        <f t="shared" si="13"/>
        <v>2</v>
      </c>
      <c r="P24" s="1">
        <f t="shared" si="13"/>
        <v>2</v>
      </c>
      <c r="Q24" s="1">
        <f t="shared" si="13"/>
        <v>2</v>
      </c>
      <c r="R24" s="1">
        <f t="shared" si="13"/>
        <v>2</v>
      </c>
      <c r="S24" s="1">
        <f t="shared" si="13"/>
        <v>3</v>
      </c>
      <c r="T24" s="1">
        <f t="shared" si="13"/>
        <v>4</v>
      </c>
      <c r="U24" s="1">
        <f t="shared" si="13"/>
        <v>4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1</v>
      </c>
      <c r="E25" s="1">
        <f t="shared" si="15"/>
        <v>1</v>
      </c>
      <c r="F25" s="1">
        <f t="shared" si="15"/>
        <v>2</v>
      </c>
      <c r="G25" s="1">
        <f t="shared" si="15"/>
        <v>2</v>
      </c>
      <c r="H25" s="1">
        <f t="shared" si="15"/>
        <v>2</v>
      </c>
      <c r="I25" s="1">
        <f t="shared" si="15"/>
        <v>3</v>
      </c>
      <c r="J25" s="1">
        <f t="shared" si="15"/>
        <v>3</v>
      </c>
      <c r="K25" s="1">
        <f t="shared" si="15"/>
        <v>4</v>
      </c>
      <c r="L25" s="1">
        <f t="shared" si="15"/>
        <v>4</v>
      </c>
      <c r="M25" s="1">
        <f t="shared" si="15"/>
        <v>4</v>
      </c>
      <c r="N25" s="1">
        <f t="shared" si="15"/>
        <v>4</v>
      </c>
      <c r="O25" s="1">
        <f t="shared" si="15"/>
        <v>5</v>
      </c>
      <c r="P25" s="1">
        <f t="shared" si="15"/>
        <v>5</v>
      </c>
      <c r="Q25" s="1">
        <f t="shared" si="15"/>
        <v>7</v>
      </c>
      <c r="R25" s="1">
        <f t="shared" si="15"/>
        <v>7</v>
      </c>
      <c r="S25" s="1">
        <f t="shared" si="15"/>
        <v>7</v>
      </c>
      <c r="T25" s="1">
        <f t="shared" si="15"/>
        <v>7</v>
      </c>
      <c r="U25" s="1">
        <f t="shared" si="15"/>
        <v>7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49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1">
        <v>46109.0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4.0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5.0</v>
      </c>
      <c r="E4" s="37">
        <v>3.0</v>
      </c>
      <c r="F4" s="37">
        <v>4.0</v>
      </c>
      <c r="G4" s="37">
        <v>4.0</v>
      </c>
      <c r="H4" s="37">
        <v>4.0</v>
      </c>
      <c r="I4" s="37">
        <v>3.0</v>
      </c>
      <c r="J4" s="37">
        <v>4.0</v>
      </c>
      <c r="K4" s="37">
        <v>5.0</v>
      </c>
      <c r="L4" s="94">
        <f t="shared" ref="L4:L5" si="1">SUM(C4:K4)</f>
        <v>36</v>
      </c>
      <c r="M4" s="37">
        <v>4.0</v>
      </c>
      <c r="N4" s="37">
        <v>4.0</v>
      </c>
      <c r="O4" s="37">
        <v>3.0</v>
      </c>
      <c r="P4" s="37">
        <v>5.0</v>
      </c>
      <c r="Q4" s="37">
        <v>4.0</v>
      </c>
      <c r="R4" s="37">
        <v>3.0</v>
      </c>
      <c r="S4" s="37">
        <v>4.0</v>
      </c>
      <c r="T4" s="37">
        <v>5.0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4.0</v>
      </c>
      <c r="D5" s="97">
        <v>7.0</v>
      </c>
      <c r="E5" s="97">
        <v>4.0</v>
      </c>
      <c r="F5" s="97">
        <v>4.0</v>
      </c>
      <c r="G5" s="97">
        <v>5.0</v>
      </c>
      <c r="H5" s="97">
        <v>4.0</v>
      </c>
      <c r="I5" s="97">
        <v>4.0</v>
      </c>
      <c r="J5" s="97">
        <v>4.0</v>
      </c>
      <c r="K5" s="97">
        <v>5.0</v>
      </c>
      <c r="L5" s="98">
        <f t="shared" si="1"/>
        <v>41</v>
      </c>
      <c r="M5" s="97">
        <v>6.0</v>
      </c>
      <c r="N5" s="97">
        <v>5.0</v>
      </c>
      <c r="O5" s="97">
        <v>2.0</v>
      </c>
      <c r="P5" s="97">
        <v>8.0</v>
      </c>
      <c r="Q5" s="97">
        <v>7.0</v>
      </c>
      <c r="R5" s="97">
        <v>4.0</v>
      </c>
      <c r="S5" s="97">
        <v>6.0</v>
      </c>
      <c r="T5" s="97">
        <v>6.0</v>
      </c>
      <c r="U5" s="97">
        <v>6.0</v>
      </c>
      <c r="V5" s="98">
        <f t="shared" si="2"/>
        <v>50</v>
      </c>
      <c r="W5" s="99">
        <f t="shared" si="3"/>
        <v>91</v>
      </c>
      <c r="X5" s="100" t="str">
        <f>IFS(W5&gt;$W$4,"+",$W$4&gt;W5,"")</f>
        <v>+</v>
      </c>
      <c r="Y5" s="100">
        <f>W5-$W$4</f>
        <v>19</v>
      </c>
      <c r="Z5" s="101" t="str">
        <f>X5&amp;Y5</f>
        <v>+19</v>
      </c>
      <c r="AA5" s="1"/>
      <c r="AB5" s="16" t="s">
        <v>41</v>
      </c>
      <c r="AC5" s="44">
        <f>COUNTIF($C$6:$U$6,"🐥")</f>
        <v>1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💩</v>
      </c>
      <c r="E6" s="103" t="str">
        <f t="shared" si="4"/>
        <v>🧻</v>
      </c>
      <c r="F6" s="103" t="str">
        <f t="shared" si="4"/>
        <v>🚩</v>
      </c>
      <c r="G6" s="103" t="str">
        <f t="shared" si="4"/>
        <v>🧻</v>
      </c>
      <c r="H6" s="103" t="str">
        <f t="shared" si="4"/>
        <v>🚩</v>
      </c>
      <c r="I6" s="103" t="str">
        <f t="shared" si="4"/>
        <v>🧻</v>
      </c>
      <c r="J6" s="103" t="str">
        <f t="shared" si="4"/>
        <v>🚩</v>
      </c>
      <c r="K6" s="103" t="str">
        <f t="shared" si="4"/>
        <v>🚩</v>
      </c>
      <c r="L6" s="104"/>
      <c r="M6" s="103" t="str">
        <f t="shared" ref="M6:U6" si="5">IFS(M$4-M5=1,$AD$5,M$4-M5=2,$AD$4,M$4=M5,$AD$6,M$4-M5=-1,$AD$7,M$4-M5=-2,$AD$8,M$4-M5=-3,$AD$9)</f>
        <v>💩</v>
      </c>
      <c r="N6" s="103" t="str">
        <f t="shared" si="5"/>
        <v>🧻</v>
      </c>
      <c r="O6" s="103" t="str">
        <f t="shared" si="5"/>
        <v>🐥</v>
      </c>
      <c r="P6" s="103" t="str">
        <f t="shared" si="5"/>
        <v>☠️</v>
      </c>
      <c r="Q6" s="103" t="str">
        <f t="shared" si="5"/>
        <v>☠️</v>
      </c>
      <c r="R6" s="103" t="str">
        <f t="shared" si="5"/>
        <v>🧻</v>
      </c>
      <c r="S6" s="103" t="str">
        <f t="shared" si="5"/>
        <v>💩</v>
      </c>
      <c r="T6" s="103" t="str">
        <f t="shared" si="5"/>
        <v>🧻</v>
      </c>
      <c r="U6" s="103" t="str">
        <f t="shared" si="5"/>
        <v>💩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5</v>
      </c>
      <c r="AD6" s="17" t="s">
        <v>19</v>
      </c>
      <c r="AE6" s="68">
        <f>COUNTIF($C$8:$U$8,"🚩")</f>
        <v>1</v>
      </c>
    </row>
    <row r="7">
      <c r="A7" s="8"/>
      <c r="B7" s="107" t="str">
        <f>AE3</f>
        <v>Trey</v>
      </c>
      <c r="C7" s="97">
        <v>5.0</v>
      </c>
      <c r="D7" s="97">
        <v>6.0</v>
      </c>
      <c r="E7" s="97">
        <v>5.0</v>
      </c>
      <c r="F7" s="97">
        <v>5.0</v>
      </c>
      <c r="G7" s="97">
        <v>6.0</v>
      </c>
      <c r="H7" s="97">
        <v>4.0</v>
      </c>
      <c r="I7" s="97">
        <v>4.0</v>
      </c>
      <c r="J7" s="97">
        <v>5.0</v>
      </c>
      <c r="K7" s="97">
        <v>7.0</v>
      </c>
      <c r="L7" s="98">
        <f>SUM(C7:K7)</f>
        <v>47</v>
      </c>
      <c r="M7" s="97">
        <v>5.0</v>
      </c>
      <c r="N7" s="97">
        <v>5.0</v>
      </c>
      <c r="O7" s="97">
        <v>4.0</v>
      </c>
      <c r="P7" s="97">
        <v>8.0</v>
      </c>
      <c r="Q7" s="97">
        <v>7.0</v>
      </c>
      <c r="R7" s="97">
        <v>4.0</v>
      </c>
      <c r="S7" s="97">
        <v>6.0</v>
      </c>
      <c r="T7" s="97">
        <v>7.0</v>
      </c>
      <c r="U7" s="97">
        <v>5.0</v>
      </c>
      <c r="V7" s="98">
        <f>SUM(M7:U7)</f>
        <v>51</v>
      </c>
      <c r="W7" s="99">
        <f>SUM(L7+V7)</f>
        <v>98</v>
      </c>
      <c r="X7" s="100" t="str">
        <f>IFS(W7&gt;$W$4,"+",$W$4&gt;W7,"")</f>
        <v>+</v>
      </c>
      <c r="Y7" s="100">
        <f>W7-$W$4</f>
        <v>26</v>
      </c>
      <c r="Z7" s="101" t="str">
        <f>X7&amp;Y7</f>
        <v>+26</v>
      </c>
      <c r="AB7" s="16" t="s">
        <v>43</v>
      </c>
      <c r="AC7" s="44">
        <f>COUNTIF($C$6:$U$6,"🧻")</f>
        <v>6</v>
      </c>
      <c r="AD7" s="17" t="s">
        <v>23</v>
      </c>
      <c r="AE7" s="68">
        <f>COUNTIF($C$8:$U$8,"🧻")</f>
        <v>10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🧻</v>
      </c>
      <c r="E8" s="80" t="str">
        <f t="shared" si="6"/>
        <v>💩</v>
      </c>
      <c r="F8" s="80" t="str">
        <f t="shared" si="6"/>
        <v>🧻</v>
      </c>
      <c r="G8" s="80" t="str">
        <f t="shared" si="6"/>
        <v>💩</v>
      </c>
      <c r="H8" s="80" t="str">
        <f t="shared" si="6"/>
        <v>🚩</v>
      </c>
      <c r="I8" s="80" t="str">
        <f t="shared" si="6"/>
        <v>🧻</v>
      </c>
      <c r="J8" s="80" t="str">
        <f t="shared" si="6"/>
        <v>🧻</v>
      </c>
      <c r="K8" s="80" t="str">
        <f t="shared" si="6"/>
        <v>💩</v>
      </c>
      <c r="L8" s="109"/>
      <c r="M8" s="80" t="str">
        <f t="shared" ref="M8:U8" si="7">IFS(M$4-M7=1,$AD$5,M$4-M7=2,$AD$4,M$4=M7,$AD$6,M$4-M7=-1,$AD$7,M$4-M7=-2,$AD$8,M$4-M7=-3,$AD$9)</f>
        <v>🧻</v>
      </c>
      <c r="N8" s="80" t="str">
        <f t="shared" si="7"/>
        <v>🧻</v>
      </c>
      <c r="O8" s="80" t="str">
        <f t="shared" si="7"/>
        <v>🧻</v>
      </c>
      <c r="P8" s="80" t="str">
        <f t="shared" si="7"/>
        <v>☠️</v>
      </c>
      <c r="Q8" s="80" t="str">
        <f t="shared" si="7"/>
        <v>☠️</v>
      </c>
      <c r="R8" s="80" t="str">
        <f t="shared" si="7"/>
        <v>🧻</v>
      </c>
      <c r="S8" s="80" t="str">
        <f t="shared" si="7"/>
        <v>💩</v>
      </c>
      <c r="T8" s="80" t="str">
        <f t="shared" si="7"/>
        <v>💩</v>
      </c>
      <c r="U8" s="80" t="str">
        <f t="shared" si="7"/>
        <v>🧻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4</v>
      </c>
      <c r="AD8" s="17" t="s">
        <v>27</v>
      </c>
      <c r="AE8" s="68">
        <f>COUNTIF($C$8:$U$8,"💩")</f>
        <v>5</v>
      </c>
    </row>
    <row r="9">
      <c r="V9" s="1"/>
      <c r="W9" s="1"/>
      <c r="AB9" s="19" t="s">
        <v>45</v>
      </c>
      <c r="AC9" s="80">
        <f>COUNTIF($C$6:$U$6,"☠️")</f>
        <v>2</v>
      </c>
      <c r="AD9" s="20" t="s">
        <v>70</v>
      </c>
      <c r="AE9" s="112">
        <f>COUNTIF($C$8:$U$8,"☠️")</f>
        <v>2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8</v>
      </c>
      <c r="AD10" s="113"/>
      <c r="AE10" s="114">
        <f>Count(C23:U23)</f>
        <v>3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9</v>
      </c>
      <c r="AD11" s="80"/>
      <c r="AE11" s="112">
        <f>U25</f>
        <v>3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Trent</v>
      </c>
      <c r="AD12" s="116">
        <f>IFS(AC11&gt;AE11,AC11-AE11,AE11&gt;AC11,AE11-AC11,AC11=AE11,"AS")</f>
        <v>6</v>
      </c>
      <c r="AE12" s="120">
        <f>AD12*AD3</f>
        <v>24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 t="str">
        <f t="shared" si="8"/>
        <v>AS</v>
      </c>
      <c r="E18" s="1">
        <f t="shared" si="8"/>
        <v>1</v>
      </c>
      <c r="F18" s="1">
        <f t="shared" si="8"/>
        <v>2</v>
      </c>
      <c r="G18" s="1">
        <f t="shared" si="8"/>
        <v>3</v>
      </c>
      <c r="H18" s="1">
        <f t="shared" si="8"/>
        <v>3</v>
      </c>
      <c r="I18" s="1">
        <f t="shared" si="8"/>
        <v>3</v>
      </c>
      <c r="J18" s="1">
        <f t="shared" si="8"/>
        <v>4</v>
      </c>
      <c r="K18" s="1">
        <f t="shared" si="8"/>
        <v>5</v>
      </c>
      <c r="L18" s="1">
        <f t="shared" si="8"/>
        <v>5</v>
      </c>
      <c r="M18" s="1">
        <f t="shared" si="8"/>
        <v>4</v>
      </c>
      <c r="N18" s="1">
        <f t="shared" si="8"/>
        <v>4</v>
      </c>
      <c r="O18" s="1">
        <f t="shared" si="8"/>
        <v>6</v>
      </c>
      <c r="P18" s="1">
        <f t="shared" si="8"/>
        <v>6</v>
      </c>
      <c r="Q18" s="1">
        <f t="shared" si="8"/>
        <v>6</v>
      </c>
      <c r="R18" s="1">
        <f t="shared" si="8"/>
        <v>6</v>
      </c>
      <c r="S18" s="1">
        <f t="shared" si="8"/>
        <v>6</v>
      </c>
      <c r="T18" s="1">
        <f t="shared" si="8"/>
        <v>7</v>
      </c>
      <c r="U18" s="1">
        <f t="shared" si="8"/>
        <v>6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>🚩</v>
      </c>
      <c r="D19" s="1" t="str">
        <f t="shared" ref="D19:K19" si="9">IF(D5&lt;D7,D6,)</f>
        <v/>
      </c>
      <c r="E19" s="1" t="str">
        <f t="shared" si="9"/>
        <v>🧻</v>
      </c>
      <c r="F19" s="1" t="str">
        <f t="shared" si="9"/>
        <v>🚩</v>
      </c>
      <c r="G19" s="1" t="str">
        <f t="shared" si="9"/>
        <v>🧻</v>
      </c>
      <c r="H19" s="1" t="str">
        <f t="shared" si="9"/>
        <v/>
      </c>
      <c r="I19" s="1" t="str">
        <f t="shared" si="9"/>
        <v/>
      </c>
      <c r="J19" s="1" t="str">
        <f t="shared" si="9"/>
        <v>🚩</v>
      </c>
      <c r="K19" s="1" t="str">
        <f t="shared" si="9"/>
        <v>🚩</v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>🐥</v>
      </c>
      <c r="P19" s="1" t="str">
        <f t="shared" si="10"/>
        <v/>
      </c>
      <c r="Q19" s="1" t="str">
        <f t="shared" si="10"/>
        <v/>
      </c>
      <c r="R19" s="1" t="str">
        <f t="shared" si="10"/>
        <v/>
      </c>
      <c r="S19" s="1" t="str">
        <f t="shared" si="10"/>
        <v/>
      </c>
      <c r="T19" s="1" t="str">
        <f t="shared" si="10"/>
        <v>🧻</v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>🧻</v>
      </c>
      <c r="E20" s="1" t="str">
        <f t="shared" si="11"/>
        <v/>
      </c>
      <c r="F20" s="1" t="str">
        <f t="shared" si="11"/>
        <v/>
      </c>
      <c r="G20" s="1" t="str">
        <f t="shared" si="11"/>
        <v/>
      </c>
      <c r="H20" s="1" t="str">
        <f t="shared" si="11"/>
        <v/>
      </c>
      <c r="I20" s="1" t="str">
        <f t="shared" si="11"/>
        <v/>
      </c>
      <c r="J20" s="1" t="str">
        <f t="shared" si="11"/>
        <v/>
      </c>
      <c r="K20" s="1" t="str">
        <f t="shared" si="11"/>
        <v/>
      </c>
      <c r="L20" s="1"/>
      <c r="M20" s="1" t="str">
        <f t="shared" ref="M20:U20" si="12">IF(M$5&gt;M$7,M8,)</f>
        <v>🧻</v>
      </c>
      <c r="N20" s="1" t="str">
        <f t="shared" si="12"/>
        <v/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/>
      </c>
      <c r="S20" s="1" t="str">
        <f t="shared" si="12"/>
        <v/>
      </c>
      <c r="T20" s="1" t="str">
        <f t="shared" si="12"/>
        <v/>
      </c>
      <c r="U20" s="1" t="str">
        <f t="shared" si="12"/>
        <v>🧻</v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>
        <f>IFS(C19=$AD$4,Rules!$G$3,C19=$AD$5,Rules!$G$4,C19=$AD$6,Rules!$G$5,C19=$AD$7,Rules!$G$6,C19=$AD$8,Rules!$G$7,C19="",)</f>
        <v>1</v>
      </c>
      <c r="D22" s="1" t="str">
        <f>IFS(D19=$AD$4,Rules!$G$3,D19=$AD$5,Rules!$G$4,D19=$AD$6,Rules!$G$5,D19=$AD$7,Rules!$G$6,D19=$AD$8,Rules!$G$7,D19="",)</f>
        <v/>
      </c>
      <c r="E22" s="1">
        <f>IFS(E19=$AD$4,Rules!$G$3,E19=$AD$5,Rules!$G$4,E19=$AD$6,Rules!$G$5,E19=$AD$7,Rules!$G$6,E19=$AD$8,Rules!$G$7,E19="",)</f>
        <v>1</v>
      </c>
      <c r="F22" s="1">
        <f>IFS(F19=$AD$4,Rules!$G$3,F19=$AD$5,Rules!$G$4,F19=$AD$6,Rules!$G$5,F19=$AD$7,Rules!$G$6,F19=$AD$8,Rules!$G$7,F19="",)</f>
        <v>1</v>
      </c>
      <c r="G22" s="1">
        <f>IFS(G19=$AD$4,Rules!$G$3,G19=$AD$5,Rules!$G$4,G19=$AD$6,Rules!$G$5,G19=$AD$7,Rules!$G$6,G19=$AD$8,Rules!$G$7,G19="",)</f>
        <v>1</v>
      </c>
      <c r="H22" s="1" t="str">
        <f>IFS(H19=$AD$4,Rules!$G$3,H19=$AD$5,Rules!$G$4,H19=$AD$6,Rules!$G$5,H19=$AD$7,Rules!$G$6,H19=$AD$8,Rules!$G$7,H19="",)</f>
        <v/>
      </c>
      <c r="I22" s="1" t="str">
        <f>IFS(I19=$AD$4,Rules!$G$3,I19=$AD$5,Rules!$G$4,I19=$AD$6,Rules!$G$5,I19=$AD$7,Rules!$G$6,I19=$AD$8,Rules!$G$7,I19="",)</f>
        <v/>
      </c>
      <c r="J22" s="1">
        <f>IFS(J19=$AD$4,Rules!$G$3,J19=$AD$5,Rules!$G$4,J19=$AD$6,Rules!$G$5,J19=$AD$7,Rules!$G$6,J19=$AD$8,Rules!$G$7,J19="",)</f>
        <v>1</v>
      </c>
      <c r="K22" s="1">
        <f>IFS(K19=$AD$4,Rules!$G$3,K19=$AD$5,Rules!$G$4,K19=$AD$6,Rules!$G$5,K19=$AD$7,Rules!$G$6,K19=$AD$8,Rules!$G$7,K19="",)</f>
        <v>1</v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>
        <f>IFS(O19=$AD$4,Rules!$G$3,O19=$AD$5,Rules!$G$4,O19=$AD$6,Rules!$G$5,O19=$AD$7,Rules!$G$6,O19=$AD$8,Rules!$G$7,O19="",)</f>
        <v>2</v>
      </c>
      <c r="P22" s="1" t="str">
        <f>IFS(P19=$AD$4,Rules!$G$3,P19=$AD$5,Rules!$G$4,P19=$AD$6,Rules!$G$5,P19=$AD$7,Rules!$G$6,P19=$AD$8,Rules!$G$7,P19="",)</f>
        <v/>
      </c>
      <c r="Q22" s="1" t="str">
        <f>IFS(Q19=$AD$4,Rules!$G$3,Q19=$AD$5,Rules!$G$4,Q19=$AD$6,Rules!$G$5,Q19=$AD$7,Rules!$G$6,Q19=$AD$8,Rules!$G$7,Q19="",)</f>
        <v/>
      </c>
      <c r="R22" s="1" t="str">
        <f>IFS(R19=$AD$4,Rules!$G$3,R19=$AD$5,Rules!$G$4,R19=$AD$6,Rules!$G$5,R19=$AD$7,Rules!$G$6,R19=$AD$8,Rules!$G$7,R19="",)</f>
        <v/>
      </c>
      <c r="S22" s="1" t="str">
        <f>IFS(S19=$AD$4,Rules!$G$3,S19=$AD$5,Rules!$G$4,S19=$AD$6,Rules!$G$5,S19=$AD$7,Rules!$G$6,S19=$AD$8,Rules!$G$7,S19="",)</f>
        <v/>
      </c>
      <c r="T22" s="1">
        <f>IFS(T19=$AD$4,Rules!$G$3,T19=$AD$5,Rules!$G$4,T19=$AD$6,Rules!$G$5,T19=$AD$7,Rules!$G$6,T19=$AD$8,Rules!$G$7,T19="",)</f>
        <v>1</v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>
        <f>IFS(D20=$AD$4,Rules!$G$3,D20=$AD$5,Rules!$G$4,D20=$AD$6,Rules!$G$5,D20=$AD$7,Rules!$G$6,D20=$AD$8,Rules!$G$7,D20="",)</f>
        <v>1</v>
      </c>
      <c r="E23" s="1" t="str">
        <f>IFS(E20=$AD$4,Rules!$G$3,E20=$AD$5,Rules!$G$4,E20=$AD$6,Rules!$G$5,E20=$AD$7,Rules!$G$6,E20=$AD$8,Rules!$G$7,E20="",)</f>
        <v/>
      </c>
      <c r="F23" s="1" t="str">
        <f>IFS(F20=$AD$4,Rules!$G$3,F20=$AD$5,Rules!$G$4,F20=$AD$6,Rules!$G$5,F20=$AD$7,Rules!$G$6,F20=$AD$8,Rules!$G$7,F20="",)</f>
        <v/>
      </c>
      <c r="G23" s="1" t="str">
        <f>IFS(G20=$AD$4,Rules!$G$3,G20=$AD$5,Rules!$G$4,G20=$AD$6,Rules!$G$5,G20=$AD$7,Rules!$G$6,G20=$AD$8,Rules!$G$7,G20="",)</f>
        <v/>
      </c>
      <c r="H23" s="1" t="str">
        <f>IFS(H20=$AD$4,Rules!$G$3,H20=$AD$5,Rules!$G$4,H20=$AD$6,Rules!$G$5,H20=$AD$7,Rules!$G$6,H20=$AD$8,Rules!$G$7,H20="",)</f>
        <v/>
      </c>
      <c r="I23" s="1" t="str">
        <f>IFS(I20=$AD$4,Rules!$G$3,I20=$AD$5,Rules!$G$4,I20=$AD$6,Rules!$G$5,I20=$AD$7,Rules!$G$6,I20=$AD$8,Rules!$G$7,I20="",)</f>
        <v/>
      </c>
      <c r="J23" s="1" t="str">
        <f>IFS(J20=$AD$4,Rules!$G$3,J20=$AD$5,Rules!$G$4,J20=$AD$6,Rules!$G$5,J20=$AD$7,Rules!$G$6,J20=$AD$8,Rules!$G$7,J20="",)</f>
        <v/>
      </c>
      <c r="K23" s="1" t="str">
        <f>IFS(K20=$AD$4,Rules!$G$3,K20=$AD$5,Rules!$G$4,K20=$AD$6,Rules!$G$5,K20=$AD$7,Rules!$G$6,K20=$AD$8,Rules!$G$7,K20="",)</f>
        <v/>
      </c>
      <c r="L23" s="1"/>
      <c r="M23" s="1">
        <f>IFS(M20=$AD$4,Rules!$G$3,M20=$AD$5,Rules!$G$4,M20=$AD$6,Rules!$G$5,M20=$AD$7,Rules!$G$6,M20=$AD$8,Rules!$G$7,M20="",)</f>
        <v>1</v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 t="str">
        <f>IFS(S20=$AD$4,Rules!$G$3,S20=$AD$5,Rules!$G$4,S20=$AD$6,Rules!$G$5,S20=$AD$7,Rules!$G$6,S20=$AD$8,Rules!$G$7,S20="",)</f>
        <v/>
      </c>
      <c r="T23" s="1" t="str">
        <f>IFS(T20=$AD$4,Rules!$G$3,T20=$AD$5,Rules!$G$4,T20=$AD$6,Rules!$G$5,T20=$AD$7,Rules!$G$6,T20=$AD$8,Rules!$G$7,T20="",)</f>
        <v/>
      </c>
      <c r="U23" s="1">
        <f>IFS(U20=$AD$4,Rules!$G$3,U20=$AD$5,Rules!$G$4,U20=$AD$6,Rules!$G$5,U20=$AD$7,Rules!$G$6,U20=$AD$8,Rules!$G$7,U20="",)</f>
        <v>1</v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>
        <f t="shared" ref="C24:C25" si="14">C22</f>
        <v>1</v>
      </c>
      <c r="D24" s="1">
        <f t="shared" ref="D24:U24" si="13">D22+C24</f>
        <v>1</v>
      </c>
      <c r="E24" s="1">
        <f t="shared" si="13"/>
        <v>2</v>
      </c>
      <c r="F24" s="1">
        <f t="shared" si="13"/>
        <v>3</v>
      </c>
      <c r="G24" s="1">
        <f t="shared" si="13"/>
        <v>4</v>
      </c>
      <c r="H24" s="1">
        <f t="shared" si="13"/>
        <v>4</v>
      </c>
      <c r="I24" s="1">
        <f t="shared" si="13"/>
        <v>4</v>
      </c>
      <c r="J24" s="1">
        <f t="shared" si="13"/>
        <v>5</v>
      </c>
      <c r="K24" s="1">
        <f t="shared" si="13"/>
        <v>6</v>
      </c>
      <c r="L24" s="1">
        <f t="shared" si="13"/>
        <v>6</v>
      </c>
      <c r="M24" s="1">
        <f t="shared" si="13"/>
        <v>6</v>
      </c>
      <c r="N24" s="1">
        <f t="shared" si="13"/>
        <v>6</v>
      </c>
      <c r="O24" s="1">
        <f t="shared" si="13"/>
        <v>8</v>
      </c>
      <c r="P24" s="1">
        <f t="shared" si="13"/>
        <v>8</v>
      </c>
      <c r="Q24" s="1">
        <f t="shared" si="13"/>
        <v>8</v>
      </c>
      <c r="R24" s="1">
        <f t="shared" si="13"/>
        <v>8</v>
      </c>
      <c r="S24" s="1">
        <f t="shared" si="13"/>
        <v>8</v>
      </c>
      <c r="T24" s="1">
        <f t="shared" si="13"/>
        <v>9</v>
      </c>
      <c r="U24" s="1">
        <f t="shared" si="13"/>
        <v>9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1</v>
      </c>
      <c r="E25" s="1">
        <f t="shared" si="15"/>
        <v>1</v>
      </c>
      <c r="F25" s="1">
        <f t="shared" si="15"/>
        <v>1</v>
      </c>
      <c r="G25" s="1">
        <f t="shared" si="15"/>
        <v>1</v>
      </c>
      <c r="H25" s="1">
        <f t="shared" si="15"/>
        <v>1</v>
      </c>
      <c r="I25" s="1">
        <f t="shared" si="15"/>
        <v>1</v>
      </c>
      <c r="J25" s="1">
        <f t="shared" si="15"/>
        <v>1</v>
      </c>
      <c r="K25" s="1">
        <f t="shared" si="15"/>
        <v>1</v>
      </c>
      <c r="L25" s="1">
        <f t="shared" si="15"/>
        <v>1</v>
      </c>
      <c r="M25" s="1">
        <f t="shared" si="15"/>
        <v>2</v>
      </c>
      <c r="N25" s="1">
        <f t="shared" si="15"/>
        <v>2</v>
      </c>
      <c r="O25" s="1">
        <f t="shared" si="15"/>
        <v>2</v>
      </c>
      <c r="P25" s="1">
        <f t="shared" si="15"/>
        <v>2</v>
      </c>
      <c r="Q25" s="1">
        <f t="shared" si="15"/>
        <v>2</v>
      </c>
      <c r="R25" s="1">
        <f t="shared" si="15"/>
        <v>2</v>
      </c>
      <c r="S25" s="1">
        <f t="shared" si="15"/>
        <v>2</v>
      </c>
      <c r="T25" s="1">
        <f t="shared" si="15"/>
        <v>2</v>
      </c>
      <c r="U25" s="1">
        <f t="shared" si="15"/>
        <v>3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53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1">
        <v>46103.0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3.0</v>
      </c>
      <c r="AE3" s="93" t="str">
        <f>Rules!J3</f>
        <v>Trey</v>
      </c>
    </row>
    <row r="4">
      <c r="A4" s="8"/>
      <c r="B4" s="89" t="s">
        <v>18</v>
      </c>
      <c r="C4" s="37">
        <v>5.0</v>
      </c>
      <c r="D4" s="37">
        <v>3.0</v>
      </c>
      <c r="E4" s="37">
        <v>4.0</v>
      </c>
      <c r="F4" s="37">
        <v>4.0</v>
      </c>
      <c r="G4" s="37">
        <v>4.0</v>
      </c>
      <c r="H4" s="37">
        <v>3.0</v>
      </c>
      <c r="I4" s="37">
        <v>5.0</v>
      </c>
      <c r="J4" s="37">
        <v>3.0</v>
      </c>
      <c r="K4" s="37">
        <v>4.0</v>
      </c>
      <c r="L4" s="94">
        <f t="shared" ref="L4:L5" si="1">SUM(C4:K4)</f>
        <v>35</v>
      </c>
      <c r="M4" s="37">
        <v>4.0</v>
      </c>
      <c r="N4" s="37">
        <v>4.0</v>
      </c>
      <c r="O4" s="37">
        <v>5.0</v>
      </c>
      <c r="P4" s="37">
        <v>4.0</v>
      </c>
      <c r="Q4" s="37">
        <v>3.0</v>
      </c>
      <c r="R4" s="37">
        <v>4.0</v>
      </c>
      <c r="S4" s="37">
        <v>4.0</v>
      </c>
      <c r="T4" s="37">
        <v>4.0</v>
      </c>
      <c r="U4" s="37">
        <v>4.0</v>
      </c>
      <c r="V4" s="94">
        <f t="shared" ref="V4:V5" si="2">SUM(M4:U4)</f>
        <v>36</v>
      </c>
      <c r="W4" s="95">
        <f t="shared" ref="W4:W5" si="3">SUM(L4+V4)</f>
        <v>71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5.0</v>
      </c>
      <c r="D5" s="97">
        <v>4.0</v>
      </c>
      <c r="E5" s="97">
        <v>3.0</v>
      </c>
      <c r="F5" s="97">
        <v>6.0</v>
      </c>
      <c r="G5" s="97">
        <v>4.0</v>
      </c>
      <c r="H5" s="97">
        <v>3.0</v>
      </c>
      <c r="I5" s="97">
        <v>5.0</v>
      </c>
      <c r="J5" s="97">
        <v>5.0</v>
      </c>
      <c r="K5" s="97">
        <v>5.0</v>
      </c>
      <c r="L5" s="98">
        <f t="shared" si="1"/>
        <v>40</v>
      </c>
      <c r="M5" s="97">
        <v>3.0</v>
      </c>
      <c r="N5" s="97">
        <v>5.0</v>
      </c>
      <c r="O5" s="97">
        <v>6.0</v>
      </c>
      <c r="P5" s="97">
        <v>5.0</v>
      </c>
      <c r="Q5" s="97">
        <v>2.0</v>
      </c>
      <c r="R5" s="97">
        <v>5.0</v>
      </c>
      <c r="S5" s="97">
        <v>5.0</v>
      </c>
      <c r="T5" s="97">
        <v>4.0</v>
      </c>
      <c r="U5" s="97">
        <v>6.0</v>
      </c>
      <c r="V5" s="98">
        <f t="shared" si="2"/>
        <v>41</v>
      </c>
      <c r="W5" s="99">
        <f t="shared" si="3"/>
        <v>81</v>
      </c>
      <c r="X5" s="100" t="str">
        <f>IFS(W5&gt;$W$4,"+",$W$4&gt;W5,"")</f>
        <v>+</v>
      </c>
      <c r="Y5" s="100">
        <f>W5-$W$4</f>
        <v>10</v>
      </c>
      <c r="Z5" s="101" t="str">
        <f>X5&amp;Y5</f>
        <v>+10</v>
      </c>
      <c r="AA5" s="1"/>
      <c r="AB5" s="16" t="s">
        <v>41</v>
      </c>
      <c r="AC5" s="44">
        <f>COUNTIF($C$6:$U$6,"🐥")</f>
        <v>3</v>
      </c>
      <c r="AD5" s="17" t="s">
        <v>15</v>
      </c>
      <c r="AE5" s="68">
        <f>COUNTIF($C$8:$U$8,"🐥")</f>
        <v>1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🧻</v>
      </c>
      <c r="E6" s="103" t="str">
        <f t="shared" si="4"/>
        <v>🐥</v>
      </c>
      <c r="F6" s="103" t="str">
        <f t="shared" si="4"/>
        <v>💩</v>
      </c>
      <c r="G6" s="103" t="str">
        <f t="shared" si="4"/>
        <v>🚩</v>
      </c>
      <c r="H6" s="103" t="str">
        <f t="shared" si="4"/>
        <v>🚩</v>
      </c>
      <c r="I6" s="103" t="str">
        <f t="shared" si="4"/>
        <v>🚩</v>
      </c>
      <c r="J6" s="103" t="str">
        <f t="shared" si="4"/>
        <v>💩</v>
      </c>
      <c r="K6" s="103" t="str">
        <f t="shared" si="4"/>
        <v>🧻</v>
      </c>
      <c r="L6" s="104"/>
      <c r="M6" s="103" t="str">
        <f t="shared" ref="M6:U6" si="5">IFS(M$4-M5=1,$AD$5,M$4-M5=2,$AD$4,M$4=M5,$AD$6,M$4-M5=-1,$AD$7,M$4-M5=-2,$AD$8,M$4-M5=-3,$AD$9)</f>
        <v>🐥</v>
      </c>
      <c r="N6" s="103" t="str">
        <f t="shared" si="5"/>
        <v>🧻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🐥</v>
      </c>
      <c r="R6" s="103" t="str">
        <f t="shared" si="5"/>
        <v>🧻</v>
      </c>
      <c r="S6" s="103" t="str">
        <f t="shared" si="5"/>
        <v>🧻</v>
      </c>
      <c r="T6" s="103" t="str">
        <f t="shared" si="5"/>
        <v>🚩</v>
      </c>
      <c r="U6" s="103" t="str">
        <f t="shared" si="5"/>
        <v>💩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5</v>
      </c>
      <c r="AD6" s="17" t="s">
        <v>19</v>
      </c>
      <c r="AE6" s="68">
        <f>COUNTIF($C$8:$U$8,"🚩")</f>
        <v>7</v>
      </c>
    </row>
    <row r="7">
      <c r="A7" s="8"/>
      <c r="B7" s="107" t="str">
        <f>AE3</f>
        <v>Trey</v>
      </c>
      <c r="C7" s="97">
        <v>6.0</v>
      </c>
      <c r="D7" s="97">
        <v>4.0</v>
      </c>
      <c r="E7" s="97">
        <v>5.0</v>
      </c>
      <c r="F7" s="97">
        <v>5.0</v>
      </c>
      <c r="G7" s="97">
        <v>4.0</v>
      </c>
      <c r="H7" s="97">
        <v>4.0</v>
      </c>
      <c r="I7" s="97">
        <v>5.0</v>
      </c>
      <c r="J7" s="97">
        <v>4.0</v>
      </c>
      <c r="K7" s="97">
        <v>3.0</v>
      </c>
      <c r="L7" s="98">
        <f>SUM(C7:K7)</f>
        <v>40</v>
      </c>
      <c r="M7" s="97">
        <v>4.0</v>
      </c>
      <c r="N7" s="97">
        <v>5.0</v>
      </c>
      <c r="O7" s="97">
        <v>6.0</v>
      </c>
      <c r="P7" s="97">
        <v>4.0</v>
      </c>
      <c r="Q7" s="97">
        <v>3.0</v>
      </c>
      <c r="R7" s="97">
        <v>5.0</v>
      </c>
      <c r="S7" s="97">
        <v>4.0</v>
      </c>
      <c r="T7" s="97">
        <v>4.0</v>
      </c>
      <c r="U7" s="97">
        <v>6.0</v>
      </c>
      <c r="V7" s="98">
        <f>SUM(M7:U7)</f>
        <v>41</v>
      </c>
      <c r="W7" s="99">
        <f>SUM(L7+V7)</f>
        <v>81</v>
      </c>
      <c r="X7" s="100" t="str">
        <f>IFS(W7&gt;$W$4,"+",$W$4&gt;W7,"")</f>
        <v>+</v>
      </c>
      <c r="Y7" s="100">
        <f>W7-$W$4</f>
        <v>10</v>
      </c>
      <c r="Z7" s="101" t="str">
        <f>X7&amp;Y7</f>
        <v>+10</v>
      </c>
      <c r="AB7" s="16" t="s">
        <v>43</v>
      </c>
      <c r="AC7" s="44">
        <f>COUNTIF($C$6:$U$6,"🧻")</f>
        <v>7</v>
      </c>
      <c r="AD7" s="17" t="s">
        <v>23</v>
      </c>
      <c r="AE7" s="68">
        <f>COUNTIF($C$8:$U$8,"🧻")</f>
        <v>9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🧻</v>
      </c>
      <c r="E8" s="80" t="str">
        <f t="shared" si="6"/>
        <v>🧻</v>
      </c>
      <c r="F8" s="80" t="str">
        <f t="shared" si="6"/>
        <v>🧻</v>
      </c>
      <c r="G8" s="80" t="str">
        <f t="shared" si="6"/>
        <v>🚩</v>
      </c>
      <c r="H8" s="80" t="str">
        <f t="shared" si="6"/>
        <v>🧻</v>
      </c>
      <c r="I8" s="80" t="str">
        <f t="shared" si="6"/>
        <v>🚩</v>
      </c>
      <c r="J8" s="80" t="str">
        <f t="shared" si="6"/>
        <v>🧻</v>
      </c>
      <c r="K8" s="80" t="str">
        <f t="shared" si="6"/>
        <v>🐥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🧻</v>
      </c>
      <c r="O8" s="80" t="str">
        <f t="shared" si="7"/>
        <v>🧻</v>
      </c>
      <c r="P8" s="80" t="str">
        <f t="shared" si="7"/>
        <v>🚩</v>
      </c>
      <c r="Q8" s="80" t="str">
        <f t="shared" si="7"/>
        <v>🚩</v>
      </c>
      <c r="R8" s="80" t="str">
        <f t="shared" si="7"/>
        <v>🧻</v>
      </c>
      <c r="S8" s="80" t="str">
        <f t="shared" si="7"/>
        <v>🚩</v>
      </c>
      <c r="T8" s="80" t="str">
        <f t="shared" si="7"/>
        <v>🚩</v>
      </c>
      <c r="U8" s="80" t="str">
        <f t="shared" si="7"/>
        <v>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3</v>
      </c>
      <c r="AD8" s="17" t="s">
        <v>27</v>
      </c>
      <c r="AE8" s="68">
        <f>COUNTIF($C$8:$U$8,"💩")</f>
        <v>1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0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5</v>
      </c>
      <c r="AD10" s="113"/>
      <c r="AE10" s="114">
        <f>Count(C23:U23)</f>
        <v>5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8</v>
      </c>
      <c r="AD11" s="80"/>
      <c r="AE11" s="112">
        <f>U25</f>
        <v>6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Trent</v>
      </c>
      <c r="AD12" s="116">
        <f>IFS(AC11&gt;AE11,AC11-AE11,AE11&gt;AC11,AE11-AC11,AC11=AE11,"AS")</f>
        <v>2</v>
      </c>
      <c r="AE12" s="120">
        <f>AD12*AD3</f>
        <v>6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>
        <f t="shared" si="8"/>
        <v>1</v>
      </c>
      <c r="E18" s="1">
        <f t="shared" si="8"/>
        <v>3</v>
      </c>
      <c r="F18" s="1">
        <f t="shared" si="8"/>
        <v>2</v>
      </c>
      <c r="G18" s="1">
        <f t="shared" si="8"/>
        <v>2</v>
      </c>
      <c r="H18" s="1">
        <f t="shared" si="8"/>
        <v>3</v>
      </c>
      <c r="I18" s="1">
        <f t="shared" si="8"/>
        <v>3</v>
      </c>
      <c r="J18" s="1">
        <f t="shared" si="8"/>
        <v>2</v>
      </c>
      <c r="K18" s="1" t="str">
        <f t="shared" si="8"/>
        <v>AS</v>
      </c>
      <c r="L18" s="1" t="str">
        <f t="shared" si="8"/>
        <v>AS</v>
      </c>
      <c r="M18" s="1">
        <f t="shared" si="8"/>
        <v>2</v>
      </c>
      <c r="N18" s="1">
        <f t="shared" si="8"/>
        <v>2</v>
      </c>
      <c r="O18" s="1">
        <f t="shared" si="8"/>
        <v>2</v>
      </c>
      <c r="P18" s="1">
        <f t="shared" si="8"/>
        <v>1</v>
      </c>
      <c r="Q18" s="1">
        <f t="shared" si="8"/>
        <v>3</v>
      </c>
      <c r="R18" s="1">
        <f t="shared" si="8"/>
        <v>3</v>
      </c>
      <c r="S18" s="1">
        <f t="shared" si="8"/>
        <v>2</v>
      </c>
      <c r="T18" s="1">
        <f t="shared" si="8"/>
        <v>2</v>
      </c>
      <c r="U18" s="1">
        <f t="shared" si="8"/>
        <v>2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>🚩</v>
      </c>
      <c r="D19" s="1" t="str">
        <f t="shared" ref="D19:K19" si="9">IF(D5&lt;D7,D6,)</f>
        <v/>
      </c>
      <c r="E19" s="1" t="str">
        <f t="shared" si="9"/>
        <v>🐥</v>
      </c>
      <c r="F19" s="1" t="str">
        <f t="shared" si="9"/>
        <v/>
      </c>
      <c r="G19" s="1" t="str">
        <f t="shared" si="9"/>
        <v/>
      </c>
      <c r="H19" s="1" t="str">
        <f t="shared" si="9"/>
        <v>🚩</v>
      </c>
      <c r="I19" s="1" t="str">
        <f t="shared" si="9"/>
        <v/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>🐥</v>
      </c>
      <c r="N19" s="1" t="str">
        <f t="shared" si="10"/>
        <v/>
      </c>
      <c r="O19" s="1" t="str">
        <f t="shared" si="10"/>
        <v/>
      </c>
      <c r="P19" s="1" t="str">
        <f t="shared" si="10"/>
        <v/>
      </c>
      <c r="Q19" s="1" t="str">
        <f t="shared" si="10"/>
        <v>🐥</v>
      </c>
      <c r="R19" s="1" t="str">
        <f t="shared" si="10"/>
        <v/>
      </c>
      <c r="S19" s="1" t="str">
        <f t="shared" si="10"/>
        <v/>
      </c>
      <c r="T19" s="1" t="str">
        <f t="shared" si="10"/>
        <v/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/>
      </c>
      <c r="E20" s="1" t="str">
        <f t="shared" si="11"/>
        <v/>
      </c>
      <c r="F20" s="1" t="str">
        <f t="shared" si="11"/>
        <v>🧻</v>
      </c>
      <c r="G20" s="1" t="str">
        <f t="shared" si="11"/>
        <v/>
      </c>
      <c r="H20" s="1" t="str">
        <f t="shared" si="11"/>
        <v/>
      </c>
      <c r="I20" s="1" t="str">
        <f t="shared" si="11"/>
        <v/>
      </c>
      <c r="J20" s="1" t="str">
        <f t="shared" si="11"/>
        <v>🧻</v>
      </c>
      <c r="K20" s="1" t="str">
        <f t="shared" si="11"/>
        <v>🐥</v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/>
      </c>
      <c r="P20" s="1" t="str">
        <f t="shared" si="12"/>
        <v>🚩</v>
      </c>
      <c r="Q20" s="1" t="str">
        <f t="shared" si="12"/>
        <v/>
      </c>
      <c r="R20" s="1" t="str">
        <f t="shared" si="12"/>
        <v/>
      </c>
      <c r="S20" s="1" t="str">
        <f t="shared" si="12"/>
        <v>🚩</v>
      </c>
      <c r="T20" s="1" t="str">
        <f t="shared" si="12"/>
        <v/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>
        <f>IFS(C19=$AD$4,Rules!$G$3,C19=$AD$5,Rules!$G$4,C19=$AD$6,Rules!$G$5,C19=$AD$7,Rules!$G$6,C19=$AD$8,Rules!$G$7,C19="",)</f>
        <v>1</v>
      </c>
      <c r="D22" s="1" t="str">
        <f>IFS(D19=$AD$4,Rules!$G$3,D19=$AD$5,Rules!$G$4,D19=$AD$6,Rules!$G$5,D19=$AD$7,Rules!$G$6,D19=$AD$8,Rules!$G$7,D19="",)</f>
        <v/>
      </c>
      <c r="E22" s="1">
        <f>IFS(E19=$AD$4,Rules!$G$3,E19=$AD$5,Rules!$G$4,E19=$AD$6,Rules!$G$5,E19=$AD$7,Rules!$G$6,E19=$AD$8,Rules!$G$7,E19="",)</f>
        <v>2</v>
      </c>
      <c r="F22" s="1" t="str">
        <f>IFS(F19=$AD$4,Rules!$G$3,F19=$AD$5,Rules!$G$4,F19=$AD$6,Rules!$G$5,F19=$AD$7,Rules!$G$6,F19=$AD$8,Rules!$G$7,F19="",)</f>
        <v/>
      </c>
      <c r="G22" s="1" t="str">
        <f>IFS(G19=$AD$4,Rules!$G$3,G19=$AD$5,Rules!$G$4,G19=$AD$6,Rules!$G$5,G19=$AD$7,Rules!$G$6,G19=$AD$8,Rules!$G$7,G19="",)</f>
        <v/>
      </c>
      <c r="H22" s="1">
        <f>IFS(H19=$AD$4,Rules!$G$3,H19=$AD$5,Rules!$G$4,H19=$AD$6,Rules!$G$5,H19=$AD$7,Rules!$G$6,H19=$AD$8,Rules!$G$7,H19="",)</f>
        <v>1</v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>
        <f>IFS(M19=$AD$4,Rules!$G$3,M19=$AD$5,Rules!$G$4,M19=$AD$6,Rules!$G$5,M19=$AD$7,Rules!$G$6,M19=$AD$8,Rules!$G$7,M19="",)</f>
        <v>2</v>
      </c>
      <c r="N22" s="1" t="str">
        <f>IFS(N19=$AD$4,Rules!$G$3,N19=$AD$5,Rules!$G$4,N19=$AD$6,Rules!$G$5,N19=$AD$7,Rules!$G$6,N19=$AD$8,Rules!$G$7,N19="",)</f>
        <v/>
      </c>
      <c r="O22" s="1" t="str">
        <f>IFS(O19=$AD$4,Rules!$G$3,O19=$AD$5,Rules!$G$4,O19=$AD$6,Rules!$G$5,O19=$AD$7,Rules!$G$6,O19=$AD$8,Rules!$G$7,O19="",)</f>
        <v/>
      </c>
      <c r="P22" s="1" t="str">
        <f>IFS(P19=$AD$4,Rules!$G$3,P19=$AD$5,Rules!$G$4,P19=$AD$6,Rules!$G$5,P19=$AD$7,Rules!$G$6,P19=$AD$8,Rules!$G$7,P19="",)</f>
        <v/>
      </c>
      <c r="Q22" s="1">
        <f>IFS(Q19=$AD$4,Rules!$G$3,Q19=$AD$5,Rules!$G$4,Q19=$AD$6,Rules!$G$5,Q19=$AD$7,Rules!$G$6,Q19=$AD$8,Rules!$G$7,Q19="",)</f>
        <v>2</v>
      </c>
      <c r="R22" s="1" t="str">
        <f>IFS(R19=$AD$4,Rules!$G$3,R19=$AD$5,Rules!$G$4,R19=$AD$6,Rules!$G$5,R19=$AD$7,Rules!$G$6,R19=$AD$8,Rules!$G$7,R19="",)</f>
        <v/>
      </c>
      <c r="S22" s="1" t="str">
        <f>IFS(S19=$AD$4,Rules!$G$3,S19=$AD$5,Rules!$G$4,S19=$AD$6,Rules!$G$5,S19=$AD$7,Rules!$G$6,S19=$AD$8,Rules!$G$7,S19="",)</f>
        <v/>
      </c>
      <c r="T22" s="1" t="str">
        <f>IFS(T19=$AD$4,Rules!$G$3,T19=$AD$5,Rules!$G$4,T19=$AD$6,Rules!$G$5,T19=$AD$7,Rules!$G$6,T19=$AD$8,Rules!$G$7,T19="",)</f>
        <v/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>
        <f>IFS(F20=$AD$4,Rules!$G$3,F20=$AD$5,Rules!$G$4,F20=$AD$6,Rules!$G$5,F20=$AD$7,Rules!$G$6,F20=$AD$8,Rules!$G$7,F20="",)</f>
        <v>1</v>
      </c>
      <c r="G23" s="1" t="str">
        <f>IFS(G20=$AD$4,Rules!$G$3,G20=$AD$5,Rules!$G$4,G20=$AD$6,Rules!$G$5,G20=$AD$7,Rules!$G$6,G20=$AD$8,Rules!$G$7,G20="",)</f>
        <v/>
      </c>
      <c r="H23" s="1" t="str">
        <f>IFS(H20=$AD$4,Rules!$G$3,H20=$AD$5,Rules!$G$4,H20=$AD$6,Rules!$G$5,H20=$AD$7,Rules!$G$6,H20=$AD$8,Rules!$G$7,H20="",)</f>
        <v/>
      </c>
      <c r="I23" s="1" t="str">
        <f>IFS(I20=$AD$4,Rules!$G$3,I20=$AD$5,Rules!$G$4,I20=$AD$6,Rules!$G$5,I20=$AD$7,Rules!$G$6,I20=$AD$8,Rules!$G$7,I20="",)</f>
        <v/>
      </c>
      <c r="J23" s="1">
        <f>IFS(J20=$AD$4,Rules!$G$3,J20=$AD$5,Rules!$G$4,J20=$AD$6,Rules!$G$5,J20=$AD$7,Rules!$G$6,J20=$AD$8,Rules!$G$7,J20="",)</f>
        <v>1</v>
      </c>
      <c r="K23" s="1">
        <f>IFS(K20=$AD$4,Rules!$G$3,K20=$AD$5,Rules!$G$4,K20=$AD$6,Rules!$G$5,K20=$AD$7,Rules!$G$6,K20=$AD$8,Rules!$G$7,K20="",)</f>
        <v>2</v>
      </c>
      <c r="L23" s="1"/>
      <c r="M23" s="1" t="str">
        <f>IFS(M20=$AD$4,Rules!$G$3,M20=$AD$5,Rules!$G$4,M20=$AD$6,Rules!$G$5,M20=$AD$7,Rules!$G$6,M20=$AD$8,Rules!$G$7,M20="",)</f>
        <v/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>
        <f>IFS(P20=$AD$4,Rules!$G$3,P20=$AD$5,Rules!$G$4,P20=$AD$6,Rules!$G$5,P20=$AD$7,Rules!$G$6,P20=$AD$8,Rules!$G$7,P20="",)</f>
        <v>1</v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>
        <f>IFS(S20=$AD$4,Rules!$G$3,S20=$AD$5,Rules!$G$4,S20=$AD$6,Rules!$G$5,S20=$AD$7,Rules!$G$6,S20=$AD$8,Rules!$G$7,S20="",)</f>
        <v>1</v>
      </c>
      <c r="T23" s="1" t="str">
        <f>IFS(T20=$AD$4,Rules!$G$3,T20=$AD$5,Rules!$G$4,T20=$AD$6,Rules!$G$5,T20=$AD$7,Rules!$G$6,T20=$AD$8,Rules!$G$7,T20="",)</f>
        <v/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>
        <f t="shared" ref="C24:C25" si="14">C22</f>
        <v>1</v>
      </c>
      <c r="D24" s="1">
        <f t="shared" ref="D24:U24" si="13">D22+C24</f>
        <v>1</v>
      </c>
      <c r="E24" s="1">
        <f t="shared" si="13"/>
        <v>3</v>
      </c>
      <c r="F24" s="1">
        <f t="shared" si="13"/>
        <v>3</v>
      </c>
      <c r="G24" s="1">
        <f t="shared" si="13"/>
        <v>3</v>
      </c>
      <c r="H24" s="1">
        <f t="shared" si="13"/>
        <v>4</v>
      </c>
      <c r="I24" s="1">
        <f t="shared" si="13"/>
        <v>4</v>
      </c>
      <c r="J24" s="1">
        <f t="shared" si="13"/>
        <v>4</v>
      </c>
      <c r="K24" s="1">
        <f t="shared" si="13"/>
        <v>4</v>
      </c>
      <c r="L24" s="1">
        <f t="shared" si="13"/>
        <v>4</v>
      </c>
      <c r="M24" s="1">
        <f t="shared" si="13"/>
        <v>6</v>
      </c>
      <c r="N24" s="1">
        <f t="shared" si="13"/>
        <v>6</v>
      </c>
      <c r="O24" s="1">
        <f t="shared" si="13"/>
        <v>6</v>
      </c>
      <c r="P24" s="1">
        <f t="shared" si="13"/>
        <v>6</v>
      </c>
      <c r="Q24" s="1">
        <f t="shared" si="13"/>
        <v>8</v>
      </c>
      <c r="R24" s="1">
        <f t="shared" si="13"/>
        <v>8</v>
      </c>
      <c r="S24" s="1">
        <f t="shared" si="13"/>
        <v>8</v>
      </c>
      <c r="T24" s="1">
        <f t="shared" si="13"/>
        <v>8</v>
      </c>
      <c r="U24" s="1">
        <f t="shared" si="13"/>
        <v>8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0</v>
      </c>
      <c r="E25" s="1">
        <f t="shared" si="15"/>
        <v>0</v>
      </c>
      <c r="F25" s="1">
        <f t="shared" si="15"/>
        <v>1</v>
      </c>
      <c r="G25" s="1">
        <f t="shared" si="15"/>
        <v>1</v>
      </c>
      <c r="H25" s="1">
        <f t="shared" si="15"/>
        <v>1</v>
      </c>
      <c r="I25" s="1">
        <f t="shared" si="15"/>
        <v>1</v>
      </c>
      <c r="J25" s="1">
        <f t="shared" si="15"/>
        <v>2</v>
      </c>
      <c r="K25" s="1">
        <f t="shared" si="15"/>
        <v>4</v>
      </c>
      <c r="L25" s="1">
        <f t="shared" si="15"/>
        <v>4</v>
      </c>
      <c r="M25" s="1">
        <f t="shared" si="15"/>
        <v>4</v>
      </c>
      <c r="N25" s="1">
        <f t="shared" si="15"/>
        <v>4</v>
      </c>
      <c r="O25" s="1">
        <f t="shared" si="15"/>
        <v>4</v>
      </c>
      <c r="P25" s="1">
        <f t="shared" si="15"/>
        <v>5</v>
      </c>
      <c r="Q25" s="1">
        <f t="shared" si="15"/>
        <v>5</v>
      </c>
      <c r="R25" s="1">
        <f t="shared" si="15"/>
        <v>5</v>
      </c>
      <c r="S25" s="1">
        <f t="shared" si="15"/>
        <v>6</v>
      </c>
      <c r="T25" s="1">
        <f t="shared" si="15"/>
        <v>6</v>
      </c>
      <c r="U25" s="1">
        <f t="shared" si="15"/>
        <v>6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85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46085.0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2.0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4.0</v>
      </c>
      <c r="E4" s="37">
        <v>3.0</v>
      </c>
      <c r="F4" s="37">
        <v>5.0</v>
      </c>
      <c r="G4" s="37">
        <v>4.0</v>
      </c>
      <c r="H4" s="37">
        <v>3.0</v>
      </c>
      <c r="I4" s="37">
        <v>4.0</v>
      </c>
      <c r="J4" s="37">
        <v>5.0</v>
      </c>
      <c r="K4" s="37">
        <v>4.0</v>
      </c>
      <c r="L4" s="94">
        <f t="shared" ref="L4:L5" si="1">SUM(C4:K4)</f>
        <v>36</v>
      </c>
      <c r="M4" s="37">
        <v>4.0</v>
      </c>
      <c r="N4" s="37">
        <v>5.0</v>
      </c>
      <c r="O4" s="37">
        <v>3.0</v>
      </c>
      <c r="P4" s="37">
        <v>4.0</v>
      </c>
      <c r="Q4" s="37">
        <v>5.0</v>
      </c>
      <c r="R4" s="37">
        <v>3.0</v>
      </c>
      <c r="S4" s="37">
        <v>4.0</v>
      </c>
      <c r="T4" s="37">
        <v>4.0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4.0</v>
      </c>
      <c r="D5" s="97">
        <v>6.0</v>
      </c>
      <c r="E5" s="97">
        <v>4.0</v>
      </c>
      <c r="F5" s="97">
        <v>5.0</v>
      </c>
      <c r="G5" s="97">
        <v>5.0</v>
      </c>
      <c r="H5" s="97">
        <v>3.0</v>
      </c>
      <c r="I5" s="97">
        <v>5.0</v>
      </c>
      <c r="J5" s="97">
        <v>6.0</v>
      </c>
      <c r="K5" s="97">
        <v>5.0</v>
      </c>
      <c r="L5" s="98">
        <f t="shared" si="1"/>
        <v>43</v>
      </c>
      <c r="M5" s="97">
        <v>4.0</v>
      </c>
      <c r="N5" s="97">
        <v>5.0</v>
      </c>
      <c r="O5" s="97">
        <v>3.0</v>
      </c>
      <c r="P5" s="97">
        <v>6.0</v>
      </c>
      <c r="Q5" s="97">
        <v>5.0</v>
      </c>
      <c r="R5" s="97">
        <v>3.0</v>
      </c>
      <c r="S5" s="97">
        <v>5.0</v>
      </c>
      <c r="T5" s="97">
        <v>6.0</v>
      </c>
      <c r="U5" s="97">
        <v>4.0</v>
      </c>
      <c r="V5" s="98">
        <f t="shared" si="2"/>
        <v>41</v>
      </c>
      <c r="W5" s="99">
        <f t="shared" si="3"/>
        <v>84</v>
      </c>
      <c r="X5" s="100" t="str">
        <f>IFS(W5&gt;$W$4,"+",$W$4&gt;W5,"")</f>
        <v>+</v>
      </c>
      <c r="Y5" s="100">
        <f>W5-$W$4</f>
        <v>12</v>
      </c>
      <c r="Z5" s="101" t="str">
        <f>X5&amp;Y5</f>
        <v>+12</v>
      </c>
      <c r="AA5" s="1"/>
      <c r="AB5" s="16" t="s">
        <v>41</v>
      </c>
      <c r="AC5" s="44">
        <f>COUNTIF($C$6:$U$6,"🐥")</f>
        <v>0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🚩</v>
      </c>
      <c r="D6" s="103" t="str">
        <f t="shared" si="4"/>
        <v>💩</v>
      </c>
      <c r="E6" s="103" t="str">
        <f t="shared" si="4"/>
        <v>🧻</v>
      </c>
      <c r="F6" s="103" t="str">
        <f t="shared" si="4"/>
        <v>🚩</v>
      </c>
      <c r="G6" s="103" t="str">
        <f t="shared" si="4"/>
        <v>🧻</v>
      </c>
      <c r="H6" s="103" t="str">
        <f t="shared" si="4"/>
        <v>🚩</v>
      </c>
      <c r="I6" s="103" t="str">
        <f t="shared" si="4"/>
        <v>🧻</v>
      </c>
      <c r="J6" s="103" t="str">
        <f t="shared" si="4"/>
        <v>🧻</v>
      </c>
      <c r="K6" s="103" t="str">
        <f t="shared" si="4"/>
        <v>🧻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🚩</v>
      </c>
      <c r="O6" s="103" t="str">
        <f t="shared" si="5"/>
        <v>🚩</v>
      </c>
      <c r="P6" s="103" t="str">
        <f t="shared" si="5"/>
        <v>💩</v>
      </c>
      <c r="Q6" s="103" t="str">
        <f t="shared" si="5"/>
        <v>🚩</v>
      </c>
      <c r="R6" s="103" t="str">
        <f t="shared" si="5"/>
        <v>🚩</v>
      </c>
      <c r="S6" s="103" t="str">
        <f t="shared" si="5"/>
        <v>🧻</v>
      </c>
      <c r="T6" s="103" t="str">
        <f t="shared" si="5"/>
        <v>💩</v>
      </c>
      <c r="U6" s="103" t="str">
        <f t="shared" si="5"/>
        <v>🚩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9</v>
      </c>
      <c r="AD6" s="17" t="s">
        <v>19</v>
      </c>
      <c r="AE6" s="68">
        <f>COUNTIF($C$8:$U$8,"🚩")</f>
        <v>13</v>
      </c>
    </row>
    <row r="7">
      <c r="A7" s="8"/>
      <c r="B7" s="107" t="str">
        <f>AE3</f>
        <v>Trey</v>
      </c>
      <c r="C7" s="97">
        <v>4.0</v>
      </c>
      <c r="D7" s="97">
        <v>4.0</v>
      </c>
      <c r="E7" s="97">
        <v>4.0</v>
      </c>
      <c r="F7" s="97">
        <v>5.0</v>
      </c>
      <c r="G7" s="97">
        <v>4.0</v>
      </c>
      <c r="H7" s="97">
        <v>3.0</v>
      </c>
      <c r="I7" s="97">
        <v>5.0</v>
      </c>
      <c r="J7" s="97">
        <v>5.0</v>
      </c>
      <c r="K7" s="97">
        <v>4.0</v>
      </c>
      <c r="L7" s="98">
        <f>SUM(C7:K7)</f>
        <v>38</v>
      </c>
      <c r="M7" s="97">
        <v>6.0</v>
      </c>
      <c r="N7" s="97">
        <v>5.0</v>
      </c>
      <c r="O7" s="97">
        <v>3.0</v>
      </c>
      <c r="P7" s="97">
        <v>4.0</v>
      </c>
      <c r="Q7" s="97">
        <v>5.0</v>
      </c>
      <c r="R7" s="97">
        <v>4.0</v>
      </c>
      <c r="S7" s="97">
        <v>5.0</v>
      </c>
      <c r="T7" s="97">
        <v>4.0</v>
      </c>
      <c r="U7" s="97">
        <v>4.0</v>
      </c>
      <c r="V7" s="98">
        <f>SUM(M7:U7)</f>
        <v>40</v>
      </c>
      <c r="W7" s="99">
        <f>SUM(L7+V7)</f>
        <v>78</v>
      </c>
      <c r="X7" s="100" t="str">
        <f>IFS(W7&gt;$W$4,"+",$W$4&gt;W7,"")</f>
        <v>+</v>
      </c>
      <c r="Y7" s="100">
        <f>W7-$W$4</f>
        <v>6</v>
      </c>
      <c r="Z7" s="101" t="str">
        <f>X7&amp;Y7</f>
        <v>+6</v>
      </c>
      <c r="AB7" s="16" t="s">
        <v>43</v>
      </c>
      <c r="AC7" s="44">
        <f>COUNTIF($C$6:$U$6,"🧻")</f>
        <v>6</v>
      </c>
      <c r="AD7" s="17" t="s">
        <v>23</v>
      </c>
      <c r="AE7" s="68">
        <f>COUNTIF($C$8:$U$8,"🧻")</f>
        <v>4</v>
      </c>
    </row>
    <row r="8">
      <c r="A8" s="8"/>
      <c r="B8" s="108"/>
      <c r="C8" s="80" t="str">
        <f t="shared" ref="C8:K8" si="6">IFS(C$4-C7=1,$AD$5,C$4-C7=2,$AD$4,C$4=C7,$AD$6,C$4-C7=-1,$AD$7,C$4-C7=-2,$AD$8,C$4-C7=-3,$AD$9)</f>
        <v>🚩</v>
      </c>
      <c r="D8" s="80" t="str">
        <f t="shared" si="6"/>
        <v>🚩</v>
      </c>
      <c r="E8" s="80" t="str">
        <f t="shared" si="6"/>
        <v>🧻</v>
      </c>
      <c r="F8" s="80" t="str">
        <f t="shared" si="6"/>
        <v>🚩</v>
      </c>
      <c r="G8" s="80" t="str">
        <f t="shared" si="6"/>
        <v>🚩</v>
      </c>
      <c r="H8" s="80" t="str">
        <f t="shared" si="6"/>
        <v>🚩</v>
      </c>
      <c r="I8" s="80" t="str">
        <f t="shared" si="6"/>
        <v>🧻</v>
      </c>
      <c r="J8" s="80" t="str">
        <f t="shared" si="6"/>
        <v>🚩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💩</v>
      </c>
      <c r="N8" s="80" t="str">
        <f t="shared" si="7"/>
        <v>🚩</v>
      </c>
      <c r="O8" s="80" t="str">
        <f t="shared" si="7"/>
        <v>🚩</v>
      </c>
      <c r="P8" s="80" t="str">
        <f t="shared" si="7"/>
        <v>🚩</v>
      </c>
      <c r="Q8" s="80" t="str">
        <f t="shared" si="7"/>
        <v>🚩</v>
      </c>
      <c r="R8" s="80" t="str">
        <f t="shared" si="7"/>
        <v>🧻</v>
      </c>
      <c r="S8" s="80" t="str">
        <f t="shared" si="7"/>
        <v>🧻</v>
      </c>
      <c r="T8" s="80" t="str">
        <f t="shared" si="7"/>
        <v>🚩</v>
      </c>
      <c r="U8" s="80" t="str">
        <f t="shared" si="7"/>
        <v>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3</v>
      </c>
      <c r="AD8" s="17" t="s">
        <v>27</v>
      </c>
      <c r="AE8" s="68">
        <f>COUNTIF($C$8:$U$8,"💩")</f>
        <v>1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0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2</v>
      </c>
      <c r="AD10" s="113"/>
      <c r="AE10" s="114">
        <f>Count(C23:U23)</f>
        <v>6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2</v>
      </c>
      <c r="AD11" s="80"/>
      <c r="AE11" s="112">
        <f>U25</f>
        <v>6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4</v>
      </c>
      <c r="AE12" s="120">
        <f>AD12*AD3</f>
        <v>8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>
        <f t="shared" si="8"/>
        <v>1</v>
      </c>
      <c r="E18" s="1">
        <f t="shared" si="8"/>
        <v>1</v>
      </c>
      <c r="F18" s="1">
        <f t="shared" si="8"/>
        <v>1</v>
      </c>
      <c r="G18" s="1">
        <f t="shared" si="8"/>
        <v>2</v>
      </c>
      <c r="H18" s="1">
        <f t="shared" si="8"/>
        <v>2</v>
      </c>
      <c r="I18" s="1">
        <f t="shared" si="8"/>
        <v>2</v>
      </c>
      <c r="J18" s="1">
        <f t="shared" si="8"/>
        <v>3</v>
      </c>
      <c r="K18" s="1">
        <f t="shared" si="8"/>
        <v>4</v>
      </c>
      <c r="L18" s="1">
        <f t="shared" si="8"/>
        <v>4</v>
      </c>
      <c r="M18" s="1">
        <f t="shared" si="8"/>
        <v>3</v>
      </c>
      <c r="N18" s="1">
        <f t="shared" si="8"/>
        <v>3</v>
      </c>
      <c r="O18" s="1">
        <f t="shared" si="8"/>
        <v>3</v>
      </c>
      <c r="P18" s="1">
        <f t="shared" si="8"/>
        <v>4</v>
      </c>
      <c r="Q18" s="1">
        <f t="shared" si="8"/>
        <v>4</v>
      </c>
      <c r="R18" s="1">
        <f t="shared" si="8"/>
        <v>3</v>
      </c>
      <c r="S18" s="1">
        <f t="shared" si="8"/>
        <v>3</v>
      </c>
      <c r="T18" s="1">
        <f t="shared" si="8"/>
        <v>4</v>
      </c>
      <c r="U18" s="1">
        <f t="shared" si="8"/>
        <v>4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/>
      </c>
      <c r="F19" s="1" t="str">
        <f t="shared" si="9"/>
        <v/>
      </c>
      <c r="G19" s="1" t="str">
        <f t="shared" si="9"/>
        <v/>
      </c>
      <c r="H19" s="1" t="str">
        <f t="shared" si="9"/>
        <v/>
      </c>
      <c r="I19" s="1" t="str">
        <f t="shared" si="9"/>
        <v/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>🚩</v>
      </c>
      <c r="N19" s="1" t="str">
        <f t="shared" si="10"/>
        <v/>
      </c>
      <c r="O19" s="1" t="str">
        <f t="shared" si="10"/>
        <v/>
      </c>
      <c r="P19" s="1" t="str">
        <f t="shared" si="10"/>
        <v/>
      </c>
      <c r="Q19" s="1" t="str">
        <f t="shared" si="10"/>
        <v/>
      </c>
      <c r="R19" s="1" t="str">
        <f t="shared" si="10"/>
        <v>🚩</v>
      </c>
      <c r="S19" s="1" t="str">
        <f t="shared" si="10"/>
        <v/>
      </c>
      <c r="T19" s="1" t="str">
        <f t="shared" si="10"/>
        <v/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>🚩</v>
      </c>
      <c r="E20" s="1" t="str">
        <f t="shared" si="11"/>
        <v/>
      </c>
      <c r="F20" s="1" t="str">
        <f t="shared" si="11"/>
        <v/>
      </c>
      <c r="G20" s="1" t="str">
        <f t="shared" si="11"/>
        <v>🚩</v>
      </c>
      <c r="H20" s="1" t="str">
        <f t="shared" si="11"/>
        <v/>
      </c>
      <c r="I20" s="1" t="str">
        <f t="shared" si="11"/>
        <v/>
      </c>
      <c r="J20" s="1" t="str">
        <f t="shared" si="11"/>
        <v>🚩</v>
      </c>
      <c r="K20" s="1" t="str">
        <f t="shared" si="11"/>
        <v>🚩</v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/>
      </c>
      <c r="P20" s="1" t="str">
        <f t="shared" si="12"/>
        <v>🚩</v>
      </c>
      <c r="Q20" s="1" t="str">
        <f t="shared" si="12"/>
        <v/>
      </c>
      <c r="R20" s="1" t="str">
        <f t="shared" si="12"/>
        <v/>
      </c>
      <c r="S20" s="1" t="str">
        <f t="shared" si="12"/>
        <v/>
      </c>
      <c r="T20" s="1" t="str">
        <f t="shared" si="12"/>
        <v>🚩</v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 t="str">
        <f>IFS(E19=$AD$4,Rules!$G$3,E19=$AD$5,Rules!$G$4,E19=$AD$6,Rules!$G$5,E19=$AD$7,Rules!$G$6,E19=$AD$8,Rules!$G$7,E19="",)</f>
        <v/>
      </c>
      <c r="F22" s="1" t="str">
        <f>IFS(F19=$AD$4,Rules!$G$3,F19=$AD$5,Rules!$G$4,F19=$AD$6,Rules!$G$5,F19=$AD$7,Rules!$G$6,F19=$AD$8,Rules!$G$7,F19="",)</f>
        <v/>
      </c>
      <c r="G22" s="1" t="str">
        <f>IFS(G19=$AD$4,Rules!$G$3,G19=$AD$5,Rules!$G$4,G19=$AD$6,Rules!$G$5,G19=$AD$7,Rules!$G$6,G19=$AD$8,Rules!$G$7,G19="",)</f>
        <v/>
      </c>
      <c r="H22" s="1" t="str">
        <f>IFS(H19=$AD$4,Rules!$G$3,H19=$AD$5,Rules!$G$4,H19=$AD$6,Rules!$G$5,H19=$AD$7,Rules!$G$6,H19=$AD$8,Rules!$G$7,H19="",)</f>
        <v/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>
        <f>IFS(M19=$AD$4,Rules!$G$3,M19=$AD$5,Rules!$G$4,M19=$AD$6,Rules!$G$5,M19=$AD$7,Rules!$G$6,M19=$AD$8,Rules!$G$7,M19="",)</f>
        <v>1</v>
      </c>
      <c r="N22" s="1" t="str">
        <f>IFS(N19=$AD$4,Rules!$G$3,N19=$AD$5,Rules!$G$4,N19=$AD$6,Rules!$G$5,N19=$AD$7,Rules!$G$6,N19=$AD$8,Rules!$G$7,N19="",)</f>
        <v/>
      </c>
      <c r="O22" s="1" t="str">
        <f>IFS(O19=$AD$4,Rules!$G$3,O19=$AD$5,Rules!$G$4,O19=$AD$6,Rules!$G$5,O19=$AD$7,Rules!$G$6,O19=$AD$8,Rules!$G$7,O19="",)</f>
        <v/>
      </c>
      <c r="P22" s="1" t="str">
        <f>IFS(P19=$AD$4,Rules!$G$3,P19=$AD$5,Rules!$G$4,P19=$AD$6,Rules!$G$5,P19=$AD$7,Rules!$G$6,P19=$AD$8,Rules!$G$7,P19="",)</f>
        <v/>
      </c>
      <c r="Q22" s="1" t="str">
        <f>IFS(Q19=$AD$4,Rules!$G$3,Q19=$AD$5,Rules!$G$4,Q19=$AD$6,Rules!$G$5,Q19=$AD$7,Rules!$G$6,Q19=$AD$8,Rules!$G$7,Q19="",)</f>
        <v/>
      </c>
      <c r="R22" s="1">
        <f>IFS(R19=$AD$4,Rules!$G$3,R19=$AD$5,Rules!$G$4,R19=$AD$6,Rules!$G$5,R19=$AD$7,Rules!$G$6,R19=$AD$8,Rules!$G$7,R19="",)</f>
        <v>1</v>
      </c>
      <c r="S22" s="1" t="str">
        <f>IFS(S19=$AD$4,Rules!$G$3,S19=$AD$5,Rules!$G$4,S19=$AD$6,Rules!$G$5,S19=$AD$7,Rules!$G$6,S19=$AD$8,Rules!$G$7,S19="",)</f>
        <v/>
      </c>
      <c r="T22" s="1" t="str">
        <f>IFS(T19=$AD$4,Rules!$G$3,T19=$AD$5,Rules!$G$4,T19=$AD$6,Rules!$G$5,T19=$AD$7,Rules!$G$6,T19=$AD$8,Rules!$G$7,T19="",)</f>
        <v/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>
        <f>IFS(D20=$AD$4,Rules!$G$3,D20=$AD$5,Rules!$G$4,D20=$AD$6,Rules!$G$5,D20=$AD$7,Rules!$G$6,D20=$AD$8,Rules!$G$7,D20="",)</f>
        <v>1</v>
      </c>
      <c r="E23" s="1" t="str">
        <f>IFS(E20=$AD$4,Rules!$G$3,E20=$AD$5,Rules!$G$4,E20=$AD$6,Rules!$G$5,E20=$AD$7,Rules!$G$6,E20=$AD$8,Rules!$G$7,E20="",)</f>
        <v/>
      </c>
      <c r="F23" s="1" t="str">
        <f>IFS(F20=$AD$4,Rules!$G$3,F20=$AD$5,Rules!$G$4,F20=$AD$6,Rules!$G$5,F20=$AD$7,Rules!$G$6,F20=$AD$8,Rules!$G$7,F20="",)</f>
        <v/>
      </c>
      <c r="G23" s="1">
        <f>IFS(G20=$AD$4,Rules!$G$3,G20=$AD$5,Rules!$G$4,G20=$AD$6,Rules!$G$5,G20=$AD$7,Rules!$G$6,G20=$AD$8,Rules!$G$7,G20="",)</f>
        <v>1</v>
      </c>
      <c r="H23" s="1" t="str">
        <f>IFS(H20=$AD$4,Rules!$G$3,H20=$AD$5,Rules!$G$4,H20=$AD$6,Rules!$G$5,H20=$AD$7,Rules!$G$6,H20=$AD$8,Rules!$G$7,H20="",)</f>
        <v/>
      </c>
      <c r="I23" s="1" t="str">
        <f>IFS(I20=$AD$4,Rules!$G$3,I20=$AD$5,Rules!$G$4,I20=$AD$6,Rules!$G$5,I20=$AD$7,Rules!$G$6,I20=$AD$8,Rules!$G$7,I20="",)</f>
        <v/>
      </c>
      <c r="J23" s="1">
        <f>IFS(J20=$AD$4,Rules!$G$3,J20=$AD$5,Rules!$G$4,J20=$AD$6,Rules!$G$5,J20=$AD$7,Rules!$G$6,J20=$AD$8,Rules!$G$7,J20="",)</f>
        <v>1</v>
      </c>
      <c r="K23" s="1">
        <f>IFS(K20=$AD$4,Rules!$G$3,K20=$AD$5,Rules!$G$4,K20=$AD$6,Rules!$G$5,K20=$AD$7,Rules!$G$6,K20=$AD$8,Rules!$G$7,K20="",)</f>
        <v>1</v>
      </c>
      <c r="L23" s="1"/>
      <c r="M23" s="1" t="str">
        <f>IFS(M20=$AD$4,Rules!$G$3,M20=$AD$5,Rules!$G$4,M20=$AD$6,Rules!$G$5,M20=$AD$7,Rules!$G$6,M20=$AD$8,Rules!$G$7,M20="",)</f>
        <v/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>
        <f>IFS(P20=$AD$4,Rules!$G$3,P20=$AD$5,Rules!$G$4,P20=$AD$6,Rules!$G$5,P20=$AD$7,Rules!$G$6,P20=$AD$8,Rules!$G$7,P20="",)</f>
        <v>1</v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 t="str">
        <f>IFS(S20=$AD$4,Rules!$G$3,S20=$AD$5,Rules!$G$4,S20=$AD$6,Rules!$G$5,S20=$AD$7,Rules!$G$6,S20=$AD$8,Rules!$G$7,S20="",)</f>
        <v/>
      </c>
      <c r="T23" s="1">
        <f>IFS(T20=$AD$4,Rules!$G$3,T20=$AD$5,Rules!$G$4,T20=$AD$6,Rules!$G$5,T20=$AD$7,Rules!$G$6,T20=$AD$8,Rules!$G$7,T20="",)</f>
        <v>1</v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0</v>
      </c>
      <c r="F24" s="1">
        <f t="shared" si="13"/>
        <v>0</v>
      </c>
      <c r="G24" s="1">
        <f t="shared" si="13"/>
        <v>0</v>
      </c>
      <c r="H24" s="1">
        <f t="shared" si="13"/>
        <v>0</v>
      </c>
      <c r="I24" s="1">
        <f t="shared" si="13"/>
        <v>0</v>
      </c>
      <c r="J24" s="1">
        <f t="shared" si="13"/>
        <v>0</v>
      </c>
      <c r="K24" s="1">
        <f t="shared" si="13"/>
        <v>0</v>
      </c>
      <c r="L24" s="1">
        <f t="shared" si="13"/>
        <v>0</v>
      </c>
      <c r="M24" s="1">
        <f t="shared" si="13"/>
        <v>1</v>
      </c>
      <c r="N24" s="1">
        <f t="shared" si="13"/>
        <v>1</v>
      </c>
      <c r="O24" s="1">
        <f t="shared" si="13"/>
        <v>1</v>
      </c>
      <c r="P24" s="1">
        <f t="shared" si="13"/>
        <v>1</v>
      </c>
      <c r="Q24" s="1">
        <f t="shared" si="13"/>
        <v>1</v>
      </c>
      <c r="R24" s="1">
        <f t="shared" si="13"/>
        <v>2</v>
      </c>
      <c r="S24" s="1">
        <f t="shared" si="13"/>
        <v>2</v>
      </c>
      <c r="T24" s="1">
        <f t="shared" si="13"/>
        <v>2</v>
      </c>
      <c r="U24" s="1">
        <f t="shared" si="13"/>
        <v>2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1</v>
      </c>
      <c r="E25" s="1">
        <f t="shared" si="15"/>
        <v>1</v>
      </c>
      <c r="F25" s="1">
        <f t="shared" si="15"/>
        <v>1</v>
      </c>
      <c r="G25" s="1">
        <f t="shared" si="15"/>
        <v>2</v>
      </c>
      <c r="H25" s="1">
        <f t="shared" si="15"/>
        <v>2</v>
      </c>
      <c r="I25" s="1">
        <f t="shared" si="15"/>
        <v>2</v>
      </c>
      <c r="J25" s="1">
        <f t="shared" si="15"/>
        <v>3</v>
      </c>
      <c r="K25" s="1">
        <f t="shared" si="15"/>
        <v>4</v>
      </c>
      <c r="L25" s="1">
        <f t="shared" si="15"/>
        <v>4</v>
      </c>
      <c r="M25" s="1">
        <f t="shared" si="15"/>
        <v>4</v>
      </c>
      <c r="N25" s="1">
        <f t="shared" si="15"/>
        <v>4</v>
      </c>
      <c r="O25" s="1">
        <f t="shared" si="15"/>
        <v>4</v>
      </c>
      <c r="P25" s="1">
        <f t="shared" si="15"/>
        <v>5</v>
      </c>
      <c r="Q25" s="1">
        <f t="shared" si="15"/>
        <v>5</v>
      </c>
      <c r="R25" s="1">
        <f t="shared" si="15"/>
        <v>5</v>
      </c>
      <c r="S25" s="1">
        <f t="shared" si="15"/>
        <v>5</v>
      </c>
      <c r="T25" s="1">
        <f t="shared" si="15"/>
        <v>6</v>
      </c>
      <c r="U25" s="1">
        <f t="shared" si="15"/>
        <v>6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48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46081.0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2.0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4.0</v>
      </c>
      <c r="E4" s="37">
        <v>5.0</v>
      </c>
      <c r="F4" s="37">
        <v>3.0</v>
      </c>
      <c r="G4" s="37">
        <v>4.0</v>
      </c>
      <c r="H4" s="37">
        <v>3.0</v>
      </c>
      <c r="I4" s="37">
        <v>4.0</v>
      </c>
      <c r="J4" s="37">
        <v>4.0</v>
      </c>
      <c r="K4" s="37">
        <v>5.0</v>
      </c>
      <c r="L4" s="94">
        <f t="shared" ref="L4:L5" si="1">SUM(C4:K4)</f>
        <v>36</v>
      </c>
      <c r="M4" s="37">
        <v>5.0</v>
      </c>
      <c r="N4" s="37">
        <v>4.0</v>
      </c>
      <c r="O4" s="37">
        <v>3.0</v>
      </c>
      <c r="P4" s="37">
        <v>4.0</v>
      </c>
      <c r="Q4" s="37">
        <v>4.0</v>
      </c>
      <c r="R4" s="37">
        <v>5.0</v>
      </c>
      <c r="S4" s="37">
        <v>4.0</v>
      </c>
      <c r="T4" s="37">
        <v>3.0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5.0</v>
      </c>
      <c r="D5" s="97">
        <v>5.0</v>
      </c>
      <c r="E5" s="97">
        <v>5.0</v>
      </c>
      <c r="F5" s="97">
        <v>2.0</v>
      </c>
      <c r="G5" s="97">
        <v>6.0</v>
      </c>
      <c r="H5" s="97">
        <v>4.0</v>
      </c>
      <c r="I5" s="97">
        <v>5.0</v>
      </c>
      <c r="J5" s="97">
        <v>5.0</v>
      </c>
      <c r="K5" s="97">
        <v>7.0</v>
      </c>
      <c r="L5" s="98">
        <f t="shared" si="1"/>
        <v>44</v>
      </c>
      <c r="M5" s="97">
        <v>5.0</v>
      </c>
      <c r="N5" s="97">
        <v>5.0</v>
      </c>
      <c r="O5" s="97">
        <v>3.0</v>
      </c>
      <c r="P5" s="97">
        <v>5.0</v>
      </c>
      <c r="Q5" s="97">
        <v>5.0</v>
      </c>
      <c r="R5" s="97">
        <v>7.0</v>
      </c>
      <c r="S5" s="97">
        <v>5.0</v>
      </c>
      <c r="T5" s="97">
        <v>4.0</v>
      </c>
      <c r="U5" s="97">
        <v>6.0</v>
      </c>
      <c r="V5" s="98">
        <f t="shared" si="2"/>
        <v>45</v>
      </c>
      <c r="W5" s="99">
        <f t="shared" si="3"/>
        <v>89</v>
      </c>
      <c r="X5" s="100" t="str">
        <f>IFS(W5&gt;$W$4,"+",$W$4&gt;W5,"")</f>
        <v>+</v>
      </c>
      <c r="Y5" s="100">
        <f>W5-$W$4</f>
        <v>17</v>
      </c>
      <c r="Z5" s="101" t="str">
        <f>X5&amp;Y5</f>
        <v>+17</v>
      </c>
      <c r="AA5" s="1"/>
      <c r="AB5" s="16" t="s">
        <v>41</v>
      </c>
      <c r="AC5" s="44">
        <f>COUNTIF($C$6:$U$6,"🐥")</f>
        <v>1</v>
      </c>
      <c r="AD5" s="17" t="s">
        <v>15</v>
      </c>
      <c r="AE5" s="68">
        <f>COUNTIF($C$8:$U$8,"🐥")</f>
        <v>2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🧻</v>
      </c>
      <c r="D6" s="103" t="str">
        <f t="shared" si="4"/>
        <v>🧻</v>
      </c>
      <c r="E6" s="103" t="str">
        <f t="shared" si="4"/>
        <v>🚩</v>
      </c>
      <c r="F6" s="103" t="str">
        <f t="shared" si="4"/>
        <v>🐥</v>
      </c>
      <c r="G6" s="103" t="str">
        <f t="shared" si="4"/>
        <v>💩</v>
      </c>
      <c r="H6" s="103" t="str">
        <f t="shared" si="4"/>
        <v>🧻</v>
      </c>
      <c r="I6" s="103" t="str">
        <f t="shared" si="4"/>
        <v>🧻</v>
      </c>
      <c r="J6" s="103" t="str">
        <f t="shared" si="4"/>
        <v>🧻</v>
      </c>
      <c r="K6" s="103" t="str">
        <f t="shared" si="4"/>
        <v>💩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🧻</v>
      </c>
      <c r="O6" s="103" t="str">
        <f t="shared" si="5"/>
        <v>🚩</v>
      </c>
      <c r="P6" s="103" t="str">
        <f t="shared" si="5"/>
        <v>🧻</v>
      </c>
      <c r="Q6" s="103" t="str">
        <f t="shared" si="5"/>
        <v>🧻</v>
      </c>
      <c r="R6" s="103" t="str">
        <f t="shared" si="5"/>
        <v>💩</v>
      </c>
      <c r="S6" s="103" t="str">
        <f t="shared" si="5"/>
        <v>🧻</v>
      </c>
      <c r="T6" s="103" t="str">
        <f t="shared" si="5"/>
        <v>🧻</v>
      </c>
      <c r="U6" s="103" t="str">
        <f t="shared" si="5"/>
        <v>💩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3</v>
      </c>
      <c r="AD6" s="17" t="s">
        <v>19</v>
      </c>
      <c r="AE6" s="68">
        <f>COUNTIF($C$8:$U$8,"🚩")</f>
        <v>7</v>
      </c>
    </row>
    <row r="7">
      <c r="A7" s="8"/>
      <c r="B7" s="107" t="str">
        <f>AE3</f>
        <v>Trey</v>
      </c>
      <c r="C7" s="97">
        <v>5.0</v>
      </c>
      <c r="D7" s="97">
        <v>5.0</v>
      </c>
      <c r="E7" s="97">
        <v>6.0</v>
      </c>
      <c r="F7" s="97">
        <v>3.0</v>
      </c>
      <c r="G7" s="97">
        <v>4.0</v>
      </c>
      <c r="H7" s="97">
        <v>3.0</v>
      </c>
      <c r="I7" s="97">
        <v>3.0</v>
      </c>
      <c r="J7" s="97">
        <v>4.0</v>
      </c>
      <c r="K7" s="97">
        <v>8.0</v>
      </c>
      <c r="L7" s="98">
        <f>SUM(C7:K7)</f>
        <v>41</v>
      </c>
      <c r="M7" s="97">
        <v>4.0</v>
      </c>
      <c r="N7" s="97">
        <v>5.0</v>
      </c>
      <c r="O7" s="97">
        <v>4.0</v>
      </c>
      <c r="P7" s="97">
        <v>5.0</v>
      </c>
      <c r="Q7" s="97">
        <v>6.0</v>
      </c>
      <c r="R7" s="97">
        <v>5.0</v>
      </c>
      <c r="S7" s="97">
        <v>6.0</v>
      </c>
      <c r="T7" s="97">
        <v>3.0</v>
      </c>
      <c r="U7" s="97">
        <v>4.0</v>
      </c>
      <c r="V7" s="98">
        <f>SUM(M7:U7)</f>
        <v>42</v>
      </c>
      <c r="W7" s="99">
        <f>SUM(L7+V7)</f>
        <v>83</v>
      </c>
      <c r="X7" s="100" t="str">
        <f>IFS(W7&gt;$W$4,"+",$W$4&gt;W7,"")</f>
        <v>+</v>
      </c>
      <c r="Y7" s="100">
        <f>W7-$W$4</f>
        <v>11</v>
      </c>
      <c r="Z7" s="101" t="str">
        <f>X7&amp;Y7</f>
        <v>+11</v>
      </c>
      <c r="AB7" s="16" t="s">
        <v>43</v>
      </c>
      <c r="AC7" s="44">
        <f>COUNTIF($C$6:$U$6,"🧻")</f>
        <v>10</v>
      </c>
      <c r="AD7" s="17" t="s">
        <v>23</v>
      </c>
      <c r="AE7" s="68">
        <f>COUNTIF($C$8:$U$8,"🧻")</f>
        <v>6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🧻</v>
      </c>
      <c r="E8" s="80" t="str">
        <f t="shared" si="6"/>
        <v>🧻</v>
      </c>
      <c r="F8" s="80" t="str">
        <f t="shared" si="6"/>
        <v>🚩</v>
      </c>
      <c r="G8" s="80" t="str">
        <f t="shared" si="6"/>
        <v>🚩</v>
      </c>
      <c r="H8" s="80" t="str">
        <f t="shared" si="6"/>
        <v>🚩</v>
      </c>
      <c r="I8" s="80" t="str">
        <f t="shared" si="6"/>
        <v>🐥</v>
      </c>
      <c r="J8" s="80" t="str">
        <f t="shared" si="6"/>
        <v>🚩</v>
      </c>
      <c r="K8" s="80" t="str">
        <f t="shared" si="6"/>
        <v>☠️</v>
      </c>
      <c r="L8" s="109"/>
      <c r="M8" s="80" t="str">
        <f t="shared" ref="M8:U8" si="7">IFS(M$4-M7=1,$AD$5,M$4-M7=2,$AD$4,M$4=M7,$AD$6,M$4-M7=-1,$AD$7,M$4-M7=-2,$AD$8,M$4-M7=-3,$AD$9)</f>
        <v>🐥</v>
      </c>
      <c r="N8" s="80" t="str">
        <f t="shared" si="7"/>
        <v>🧻</v>
      </c>
      <c r="O8" s="80" t="str">
        <f t="shared" si="7"/>
        <v>🧻</v>
      </c>
      <c r="P8" s="80" t="str">
        <f t="shared" si="7"/>
        <v>🧻</v>
      </c>
      <c r="Q8" s="80" t="str">
        <f t="shared" si="7"/>
        <v>💩</v>
      </c>
      <c r="R8" s="80" t="str">
        <f t="shared" si="7"/>
        <v>🚩</v>
      </c>
      <c r="S8" s="80" t="str">
        <f t="shared" si="7"/>
        <v>💩</v>
      </c>
      <c r="T8" s="80" t="str">
        <f t="shared" si="7"/>
        <v>🚩</v>
      </c>
      <c r="U8" s="80" t="str">
        <f t="shared" si="7"/>
        <v>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4</v>
      </c>
      <c r="AD8" s="17" t="s">
        <v>27</v>
      </c>
      <c r="AE8" s="68">
        <f>COUNTIF($C$8:$U$8,"💩")</f>
        <v>2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1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6</v>
      </c>
      <c r="AD10" s="113"/>
      <c r="AE10" s="114">
        <f>Count(C23:U23)</f>
        <v>8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6.5</v>
      </c>
      <c r="AD11" s="80"/>
      <c r="AE11" s="112">
        <f>U25</f>
        <v>10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3.5</v>
      </c>
      <c r="AE12" s="120">
        <f>AD12*AD3</f>
        <v>7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 t="str">
        <f t="shared" si="8"/>
        <v>AS</v>
      </c>
      <c r="E18" s="1">
        <f t="shared" si="8"/>
        <v>1</v>
      </c>
      <c r="F18" s="1">
        <f t="shared" si="8"/>
        <v>3</v>
      </c>
      <c r="G18" s="1">
        <f t="shared" si="8"/>
        <v>2</v>
      </c>
      <c r="H18" s="1">
        <f t="shared" si="8"/>
        <v>1</v>
      </c>
      <c r="I18" s="1">
        <f t="shared" si="8"/>
        <v>1</v>
      </c>
      <c r="J18" s="1">
        <f t="shared" si="8"/>
        <v>2</v>
      </c>
      <c r="K18" s="1">
        <f t="shared" si="8"/>
        <v>1.5</v>
      </c>
      <c r="L18" s="1">
        <f t="shared" si="8"/>
        <v>1.5</v>
      </c>
      <c r="M18" s="1">
        <f t="shared" si="8"/>
        <v>3.5</v>
      </c>
      <c r="N18" s="1">
        <f t="shared" si="8"/>
        <v>3.5</v>
      </c>
      <c r="O18" s="1">
        <f t="shared" si="8"/>
        <v>2.5</v>
      </c>
      <c r="P18" s="1">
        <f t="shared" si="8"/>
        <v>2.5</v>
      </c>
      <c r="Q18" s="1">
        <f t="shared" si="8"/>
        <v>1.5</v>
      </c>
      <c r="R18" s="1">
        <f t="shared" si="8"/>
        <v>2.5</v>
      </c>
      <c r="S18" s="1">
        <f t="shared" si="8"/>
        <v>1.5</v>
      </c>
      <c r="T18" s="1">
        <f t="shared" si="8"/>
        <v>2.5</v>
      </c>
      <c r="U18" s="1">
        <f t="shared" si="8"/>
        <v>3.5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>🚩</v>
      </c>
      <c r="F19" s="1" t="str">
        <f t="shared" si="9"/>
        <v>🐥</v>
      </c>
      <c r="G19" s="1" t="str">
        <f t="shared" si="9"/>
        <v/>
      </c>
      <c r="H19" s="1" t="str">
        <f t="shared" si="9"/>
        <v/>
      </c>
      <c r="I19" s="1" t="str">
        <f t="shared" si="9"/>
        <v/>
      </c>
      <c r="J19" s="1" t="str">
        <f t="shared" si="9"/>
        <v/>
      </c>
      <c r="K19" s="1" t="str">
        <f t="shared" si="9"/>
        <v>💩</v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>🚩</v>
      </c>
      <c r="P19" s="1" t="str">
        <f t="shared" si="10"/>
        <v/>
      </c>
      <c r="Q19" s="1" t="str">
        <f t="shared" si="10"/>
        <v>🧻</v>
      </c>
      <c r="R19" s="1" t="str">
        <f t="shared" si="10"/>
        <v/>
      </c>
      <c r="S19" s="1" t="str">
        <f t="shared" si="10"/>
        <v>🧻</v>
      </c>
      <c r="T19" s="1" t="str">
        <f t="shared" si="10"/>
        <v/>
      </c>
      <c r="U19" s="1" t="str">
        <f t="shared" si="10"/>
        <v/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/>
      </c>
      <c r="E20" s="1" t="str">
        <f t="shared" si="11"/>
        <v/>
      </c>
      <c r="F20" s="1" t="str">
        <f t="shared" si="11"/>
        <v/>
      </c>
      <c r="G20" s="1" t="str">
        <f t="shared" si="11"/>
        <v>🚩</v>
      </c>
      <c r="H20" s="1" t="str">
        <f t="shared" si="11"/>
        <v>🚩</v>
      </c>
      <c r="I20" s="1" t="str">
        <f t="shared" si="11"/>
        <v>🐥</v>
      </c>
      <c r="J20" s="1" t="str">
        <f t="shared" si="11"/>
        <v>🚩</v>
      </c>
      <c r="K20" s="1" t="str">
        <f t="shared" si="11"/>
        <v/>
      </c>
      <c r="L20" s="1"/>
      <c r="M20" s="1" t="str">
        <f t="shared" ref="M20:U20" si="12">IF(M$5&gt;M$7,M8,)</f>
        <v>🐥</v>
      </c>
      <c r="N20" s="1" t="str">
        <f t="shared" si="12"/>
        <v/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>🚩</v>
      </c>
      <c r="S20" s="1" t="str">
        <f t="shared" si="12"/>
        <v/>
      </c>
      <c r="T20" s="1" t="str">
        <f t="shared" si="12"/>
        <v>🚩</v>
      </c>
      <c r="U20" s="1" t="str">
        <f t="shared" si="12"/>
        <v>🚩</v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>
        <f>IFS(E19=$AD$4,Rules!$G$3,E19=$AD$5,Rules!$G$4,E19=$AD$6,Rules!$G$5,E19=$AD$7,Rules!$G$6,E19=$AD$8,Rules!$G$7,E19="",)</f>
        <v>1</v>
      </c>
      <c r="F22" s="1">
        <f>IFS(F19=$AD$4,Rules!$G$3,F19=$AD$5,Rules!$G$4,F19=$AD$6,Rules!$G$5,F19=$AD$7,Rules!$G$6,F19=$AD$8,Rules!$G$7,F19="",)</f>
        <v>2</v>
      </c>
      <c r="G22" s="1" t="str">
        <f>IFS(G19=$AD$4,Rules!$G$3,G19=$AD$5,Rules!$G$4,G19=$AD$6,Rules!$G$5,G19=$AD$7,Rules!$G$6,G19=$AD$8,Rules!$G$7,G19="",)</f>
        <v/>
      </c>
      <c r="H22" s="1" t="str">
        <f>IFS(H19=$AD$4,Rules!$G$3,H19=$AD$5,Rules!$G$4,H19=$AD$6,Rules!$G$5,H19=$AD$7,Rules!$G$6,H19=$AD$8,Rules!$G$7,H19="",)</f>
        <v/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>
        <f>IFS(K19=$AD$4,Rules!$G$3,K19=$AD$5,Rules!$G$4,K19=$AD$6,Rules!$G$5,K19=$AD$7,Rules!$G$6,K19=$AD$8,Rules!$G$7,K19="",)</f>
        <v>0.5</v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>
        <f>IFS(O19=$AD$4,Rules!$G$3,O19=$AD$5,Rules!$G$4,O19=$AD$6,Rules!$G$5,O19=$AD$7,Rules!$G$6,O19=$AD$8,Rules!$G$7,O19="",)</f>
        <v>1</v>
      </c>
      <c r="P22" s="1" t="str">
        <f>IFS(P19=$AD$4,Rules!$G$3,P19=$AD$5,Rules!$G$4,P19=$AD$6,Rules!$G$5,P19=$AD$7,Rules!$G$6,P19=$AD$8,Rules!$G$7,P19="",)</f>
        <v/>
      </c>
      <c r="Q22" s="1">
        <f>IFS(Q19=$AD$4,Rules!$G$3,Q19=$AD$5,Rules!$G$4,Q19=$AD$6,Rules!$G$5,Q19=$AD$7,Rules!$G$6,Q19=$AD$8,Rules!$G$7,Q19="",)</f>
        <v>1</v>
      </c>
      <c r="R22" s="1" t="str">
        <f>IFS(R19=$AD$4,Rules!$G$3,R19=$AD$5,Rules!$G$4,R19=$AD$6,Rules!$G$5,R19=$AD$7,Rules!$G$6,R19=$AD$8,Rules!$G$7,R19="",)</f>
        <v/>
      </c>
      <c r="S22" s="1">
        <f>IFS(S19=$AD$4,Rules!$G$3,S19=$AD$5,Rules!$G$4,S19=$AD$6,Rules!$G$5,S19=$AD$7,Rules!$G$6,S19=$AD$8,Rules!$G$7,S19="",)</f>
        <v>1</v>
      </c>
      <c r="T22" s="1" t="str">
        <f>IFS(T19=$AD$4,Rules!$G$3,T19=$AD$5,Rules!$G$4,T19=$AD$6,Rules!$G$5,T19=$AD$7,Rules!$G$6,T19=$AD$8,Rules!$G$7,T19="",)</f>
        <v/>
      </c>
      <c r="U22" s="1" t="str">
        <f>IFS(U19=$AD$4,Rules!$G$3,U19=$AD$5,Rules!$G$4,U19=$AD$6,Rules!$G$5,U19=$AD$7,Rules!$G$6,U19=$AD$8,Rules!$G$7,U19="",)</f>
        <v/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 t="str">
        <f>IFS(F20=$AD$4,Rules!$G$3,F20=$AD$5,Rules!$G$4,F20=$AD$6,Rules!$G$5,F20=$AD$7,Rules!$G$6,F20=$AD$8,Rules!$G$7,F20="",)</f>
        <v/>
      </c>
      <c r="G23" s="1">
        <f>IFS(G20=$AD$4,Rules!$G$3,G20=$AD$5,Rules!$G$4,G20=$AD$6,Rules!$G$5,G20=$AD$7,Rules!$G$6,G20=$AD$8,Rules!$G$7,G20="",)</f>
        <v>1</v>
      </c>
      <c r="H23" s="1">
        <f>IFS(H20=$AD$4,Rules!$G$3,H20=$AD$5,Rules!$G$4,H20=$AD$6,Rules!$G$5,H20=$AD$7,Rules!$G$6,H20=$AD$8,Rules!$G$7,H20="",)</f>
        <v>1</v>
      </c>
      <c r="I23" s="1">
        <f>IFS(I20=$AD$4,Rules!$G$3,I20=$AD$5,Rules!$G$4,I20=$AD$6,Rules!$G$5,I20=$AD$7,Rules!$G$6,I20=$AD$8,Rules!$G$7,I20="",)</f>
        <v>2</v>
      </c>
      <c r="J23" s="1">
        <f>IFS(J20=$AD$4,Rules!$G$3,J20=$AD$5,Rules!$G$4,J20=$AD$6,Rules!$G$5,J20=$AD$7,Rules!$G$6,J20=$AD$8,Rules!$G$7,J20="",)</f>
        <v>1</v>
      </c>
      <c r="K23" s="1" t="str">
        <f>IFS(K20=$AD$4,Rules!$G$3,K20=$AD$5,Rules!$G$4,K20=$AD$6,Rules!$G$5,K20=$AD$7,Rules!$G$6,K20=$AD$8,Rules!$G$7,K20="",)</f>
        <v/>
      </c>
      <c r="L23" s="1"/>
      <c r="M23" s="1">
        <f>IFS(M20=$AD$4,Rules!$G$3,M20=$AD$5,Rules!$G$4,M20=$AD$6,Rules!$G$5,M20=$AD$7,Rules!$G$6,M20=$AD$8,Rules!$G$7,M20="",)</f>
        <v>2</v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 t="str">
        <f>IFS(Q20=$AD$4,Rules!$G$3,Q20=$AD$5,Rules!$G$4,Q20=$AD$6,Rules!$G$5,Q20=$AD$7,Rules!$G$6,Q20=$AD$8,Rules!$G$7,Q20="",)</f>
        <v/>
      </c>
      <c r="R23" s="1">
        <f>IFS(R20=$AD$4,Rules!$G$3,R20=$AD$5,Rules!$G$4,R20=$AD$6,Rules!$G$5,R20=$AD$7,Rules!$G$6,R20=$AD$8,Rules!$G$7,R20="",)</f>
        <v>1</v>
      </c>
      <c r="S23" s="1" t="str">
        <f>IFS(S20=$AD$4,Rules!$G$3,S20=$AD$5,Rules!$G$4,S20=$AD$6,Rules!$G$5,S20=$AD$7,Rules!$G$6,S20=$AD$8,Rules!$G$7,S20="",)</f>
        <v/>
      </c>
      <c r="T23" s="1">
        <f>IFS(T20=$AD$4,Rules!$G$3,T20=$AD$5,Rules!$G$4,T20=$AD$6,Rules!$G$5,T20=$AD$7,Rules!$G$6,T20=$AD$8,Rules!$G$7,T20="",)</f>
        <v>1</v>
      </c>
      <c r="U23" s="1">
        <f>IFS(U20=$AD$4,Rules!$G$3,U20=$AD$5,Rules!$G$4,U20=$AD$6,Rules!$G$5,U20=$AD$7,Rules!$G$6,U20=$AD$8,Rules!$G$7,U20="",)</f>
        <v>1</v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1</v>
      </c>
      <c r="F24" s="1">
        <f t="shared" si="13"/>
        <v>3</v>
      </c>
      <c r="G24" s="1">
        <f t="shared" si="13"/>
        <v>3</v>
      </c>
      <c r="H24" s="1">
        <f t="shared" si="13"/>
        <v>3</v>
      </c>
      <c r="I24" s="1">
        <f t="shared" si="13"/>
        <v>3</v>
      </c>
      <c r="J24" s="1">
        <f t="shared" si="13"/>
        <v>3</v>
      </c>
      <c r="K24" s="1">
        <f t="shared" si="13"/>
        <v>3.5</v>
      </c>
      <c r="L24" s="1">
        <f t="shared" si="13"/>
        <v>3.5</v>
      </c>
      <c r="M24" s="1">
        <f t="shared" si="13"/>
        <v>3.5</v>
      </c>
      <c r="N24" s="1">
        <f t="shared" si="13"/>
        <v>3.5</v>
      </c>
      <c r="O24" s="1">
        <f t="shared" si="13"/>
        <v>4.5</v>
      </c>
      <c r="P24" s="1">
        <f t="shared" si="13"/>
        <v>4.5</v>
      </c>
      <c r="Q24" s="1">
        <f t="shared" si="13"/>
        <v>5.5</v>
      </c>
      <c r="R24" s="1">
        <f t="shared" si="13"/>
        <v>5.5</v>
      </c>
      <c r="S24" s="1">
        <f t="shared" si="13"/>
        <v>6.5</v>
      </c>
      <c r="T24" s="1">
        <f t="shared" si="13"/>
        <v>6.5</v>
      </c>
      <c r="U24" s="1">
        <f t="shared" si="13"/>
        <v>6.5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0</v>
      </c>
      <c r="E25" s="1">
        <f t="shared" si="15"/>
        <v>0</v>
      </c>
      <c r="F25" s="1">
        <f t="shared" si="15"/>
        <v>0</v>
      </c>
      <c r="G25" s="1">
        <f t="shared" si="15"/>
        <v>1</v>
      </c>
      <c r="H25" s="1">
        <f t="shared" si="15"/>
        <v>2</v>
      </c>
      <c r="I25" s="1">
        <f t="shared" si="15"/>
        <v>4</v>
      </c>
      <c r="J25" s="1">
        <f t="shared" si="15"/>
        <v>5</v>
      </c>
      <c r="K25" s="1">
        <f t="shared" si="15"/>
        <v>5</v>
      </c>
      <c r="L25" s="1">
        <f t="shared" si="15"/>
        <v>5</v>
      </c>
      <c r="M25" s="1">
        <f t="shared" si="15"/>
        <v>7</v>
      </c>
      <c r="N25" s="1">
        <f t="shared" si="15"/>
        <v>7</v>
      </c>
      <c r="O25" s="1">
        <f t="shared" si="15"/>
        <v>7</v>
      </c>
      <c r="P25" s="1">
        <f t="shared" si="15"/>
        <v>7</v>
      </c>
      <c r="Q25" s="1">
        <f t="shared" si="15"/>
        <v>7</v>
      </c>
      <c r="R25" s="1">
        <f t="shared" si="15"/>
        <v>8</v>
      </c>
      <c r="S25" s="1">
        <f t="shared" si="15"/>
        <v>8</v>
      </c>
      <c r="T25" s="1">
        <f t="shared" si="15"/>
        <v>9</v>
      </c>
      <c r="U25" s="1">
        <f t="shared" si="15"/>
        <v>10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22" t="s">
        <v>86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85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46074.0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4.0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4.0</v>
      </c>
      <c r="E4" s="37">
        <v>3.0</v>
      </c>
      <c r="F4" s="37">
        <v>5.0</v>
      </c>
      <c r="G4" s="37">
        <v>4.0</v>
      </c>
      <c r="H4" s="37">
        <v>3.0</v>
      </c>
      <c r="I4" s="37">
        <v>4.0</v>
      </c>
      <c r="J4" s="37">
        <v>5.0</v>
      </c>
      <c r="K4" s="37">
        <v>4.0</v>
      </c>
      <c r="L4" s="94">
        <f t="shared" ref="L4:L5" si="1">SUM(C4:K4)</f>
        <v>36</v>
      </c>
      <c r="M4" s="37">
        <v>4.0</v>
      </c>
      <c r="N4" s="37">
        <v>5.0</v>
      </c>
      <c r="O4" s="37">
        <v>3.0</v>
      </c>
      <c r="P4" s="37">
        <v>4.0</v>
      </c>
      <c r="Q4" s="37">
        <v>5.0</v>
      </c>
      <c r="R4" s="37">
        <v>3.0</v>
      </c>
      <c r="S4" s="37">
        <v>4.0</v>
      </c>
      <c r="T4" s="37">
        <v>4.0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5.0</v>
      </c>
      <c r="D5" s="97">
        <v>5.0</v>
      </c>
      <c r="E5" s="97">
        <v>4.0</v>
      </c>
      <c r="F5" s="97">
        <v>5.0</v>
      </c>
      <c r="G5" s="97">
        <v>5.0</v>
      </c>
      <c r="H5" s="97">
        <v>4.0</v>
      </c>
      <c r="I5" s="97">
        <v>5.0</v>
      </c>
      <c r="J5" s="97">
        <v>7.0</v>
      </c>
      <c r="K5" s="97">
        <v>4.0</v>
      </c>
      <c r="L5" s="98">
        <f t="shared" si="1"/>
        <v>44</v>
      </c>
      <c r="M5" s="97">
        <v>5.0</v>
      </c>
      <c r="N5" s="97">
        <v>6.0</v>
      </c>
      <c r="O5" s="97">
        <v>4.0</v>
      </c>
      <c r="P5" s="97">
        <v>4.0</v>
      </c>
      <c r="Q5" s="97">
        <v>5.0</v>
      </c>
      <c r="R5" s="97">
        <v>3.0</v>
      </c>
      <c r="S5" s="97">
        <v>6.0</v>
      </c>
      <c r="T5" s="97">
        <v>6.0</v>
      </c>
      <c r="U5" s="97">
        <v>5.0</v>
      </c>
      <c r="V5" s="98">
        <f t="shared" si="2"/>
        <v>44</v>
      </c>
      <c r="W5" s="99">
        <f t="shared" si="3"/>
        <v>88</v>
      </c>
      <c r="X5" s="100" t="str">
        <f>IFS(W5&gt;$W$4,"+",$W$4&gt;W5,"")</f>
        <v>+</v>
      </c>
      <c r="Y5" s="100">
        <f>W5-$W$4</f>
        <v>16</v>
      </c>
      <c r="Z5" s="101" t="str">
        <f>X5&amp;Y5</f>
        <v>+16</v>
      </c>
      <c r="AA5" s="1"/>
      <c r="AB5" s="16" t="s">
        <v>41</v>
      </c>
      <c r="AC5" s="44">
        <f>COUNTIF($C$6:$U$6,"🐥")</f>
        <v>0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🧻</v>
      </c>
      <c r="D6" s="103" t="str">
        <f t="shared" si="4"/>
        <v>🧻</v>
      </c>
      <c r="E6" s="103" t="str">
        <f t="shared" si="4"/>
        <v>🧻</v>
      </c>
      <c r="F6" s="103" t="str">
        <f t="shared" si="4"/>
        <v>🚩</v>
      </c>
      <c r="G6" s="103" t="str">
        <f t="shared" si="4"/>
        <v>🧻</v>
      </c>
      <c r="H6" s="103" t="str">
        <f t="shared" si="4"/>
        <v>🧻</v>
      </c>
      <c r="I6" s="103" t="str">
        <f t="shared" si="4"/>
        <v>🧻</v>
      </c>
      <c r="J6" s="103" t="str">
        <f t="shared" si="4"/>
        <v>💩</v>
      </c>
      <c r="K6" s="103" t="str">
        <f t="shared" si="4"/>
        <v>🚩</v>
      </c>
      <c r="L6" s="104"/>
      <c r="M6" s="103" t="str">
        <f t="shared" ref="M6:U6" si="5">IFS(M$4-M5=1,$AD$5,M$4-M5=2,$AD$4,M$4=M5,$AD$6,M$4-M5=-1,$AD$7,M$4-M5=-2,$AD$8,M$4-M5=-3,$AD$9)</f>
        <v>🧻</v>
      </c>
      <c r="N6" s="103" t="str">
        <f t="shared" si="5"/>
        <v>🧻</v>
      </c>
      <c r="O6" s="103" t="str">
        <f t="shared" si="5"/>
        <v>🧻</v>
      </c>
      <c r="P6" s="103" t="str">
        <f t="shared" si="5"/>
        <v>🚩</v>
      </c>
      <c r="Q6" s="103" t="str">
        <f t="shared" si="5"/>
        <v>🚩</v>
      </c>
      <c r="R6" s="103" t="str">
        <f t="shared" si="5"/>
        <v>🚩</v>
      </c>
      <c r="S6" s="103" t="str">
        <f t="shared" si="5"/>
        <v>💩</v>
      </c>
      <c r="T6" s="103" t="str">
        <f t="shared" si="5"/>
        <v>💩</v>
      </c>
      <c r="U6" s="103" t="str">
        <f t="shared" si="5"/>
        <v>🧻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5</v>
      </c>
      <c r="AD6" s="17" t="s">
        <v>19</v>
      </c>
      <c r="AE6" s="68">
        <f>COUNTIF($C$8:$U$8,"🚩")</f>
        <v>8</v>
      </c>
    </row>
    <row r="7">
      <c r="A7" s="8"/>
      <c r="B7" s="107" t="str">
        <f>AE3</f>
        <v>Trey</v>
      </c>
      <c r="C7" s="97">
        <v>5.0</v>
      </c>
      <c r="D7" s="97">
        <v>4.0</v>
      </c>
      <c r="E7" s="97">
        <v>4.0</v>
      </c>
      <c r="F7" s="97">
        <v>6.0</v>
      </c>
      <c r="G7" s="97">
        <v>4.0</v>
      </c>
      <c r="H7" s="97">
        <v>3.0</v>
      </c>
      <c r="I7" s="97">
        <v>5.0</v>
      </c>
      <c r="J7" s="97">
        <v>6.0</v>
      </c>
      <c r="K7" s="97">
        <v>4.0</v>
      </c>
      <c r="L7" s="98">
        <f>SUM(C7:K7)</f>
        <v>41</v>
      </c>
      <c r="M7" s="97">
        <v>5.0</v>
      </c>
      <c r="N7" s="97">
        <v>5.0</v>
      </c>
      <c r="O7" s="97">
        <v>3.0</v>
      </c>
      <c r="P7" s="97">
        <v>4.0</v>
      </c>
      <c r="Q7" s="97">
        <v>5.0</v>
      </c>
      <c r="R7" s="97">
        <v>4.0</v>
      </c>
      <c r="S7" s="97">
        <v>7.0</v>
      </c>
      <c r="T7" s="97">
        <v>7.0</v>
      </c>
      <c r="U7" s="97">
        <v>6.0</v>
      </c>
      <c r="V7" s="98">
        <f>SUM(M7:U7)</f>
        <v>46</v>
      </c>
      <c r="W7" s="99">
        <f>SUM(L7+V7)</f>
        <v>87</v>
      </c>
      <c r="X7" s="100" t="str">
        <f>IFS(W7&gt;$W$4,"+",$W$4&gt;W7,"")</f>
        <v>+</v>
      </c>
      <c r="Y7" s="100">
        <f>W7-$W$4</f>
        <v>15</v>
      </c>
      <c r="Z7" s="101" t="str">
        <f>X7&amp;Y7</f>
        <v>+15</v>
      </c>
      <c r="AB7" s="16" t="s">
        <v>43</v>
      </c>
      <c r="AC7" s="44">
        <f>COUNTIF($C$6:$U$6,"🧻")</f>
        <v>10</v>
      </c>
      <c r="AD7" s="17" t="s">
        <v>23</v>
      </c>
      <c r="AE7" s="68">
        <f>COUNTIF($C$8:$U$8,"🧻")</f>
        <v>7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🚩</v>
      </c>
      <c r="E8" s="80" t="str">
        <f t="shared" si="6"/>
        <v>🧻</v>
      </c>
      <c r="F8" s="80" t="str">
        <f t="shared" si="6"/>
        <v>🧻</v>
      </c>
      <c r="G8" s="80" t="str">
        <f t="shared" si="6"/>
        <v>🚩</v>
      </c>
      <c r="H8" s="80" t="str">
        <f t="shared" si="6"/>
        <v>🚩</v>
      </c>
      <c r="I8" s="80" t="str">
        <f t="shared" si="6"/>
        <v>🧻</v>
      </c>
      <c r="J8" s="80" t="str">
        <f t="shared" si="6"/>
        <v>🧻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🧻</v>
      </c>
      <c r="N8" s="80" t="str">
        <f t="shared" si="7"/>
        <v>🚩</v>
      </c>
      <c r="O8" s="80" t="str">
        <f t="shared" si="7"/>
        <v>🚩</v>
      </c>
      <c r="P8" s="80" t="str">
        <f t="shared" si="7"/>
        <v>🚩</v>
      </c>
      <c r="Q8" s="80" t="str">
        <f t="shared" si="7"/>
        <v>🚩</v>
      </c>
      <c r="R8" s="80" t="str">
        <f t="shared" si="7"/>
        <v>🧻</v>
      </c>
      <c r="S8" s="80" t="str">
        <f t="shared" si="7"/>
        <v>☠️</v>
      </c>
      <c r="T8" s="80" t="str">
        <f t="shared" si="7"/>
        <v>☠️</v>
      </c>
      <c r="U8" s="80" t="str">
        <f t="shared" si="7"/>
        <v>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3</v>
      </c>
      <c r="AD8" s="17" t="s">
        <v>27</v>
      </c>
      <c r="AE8" s="68">
        <f>COUNTIF($C$8:$U$8,"💩")</f>
        <v>1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2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5</v>
      </c>
      <c r="AD10" s="113"/>
      <c r="AE10" s="114">
        <f>Count(C23:U23)</f>
        <v>6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4</v>
      </c>
      <c r="AD11" s="80"/>
      <c r="AE11" s="112">
        <f>U25</f>
        <v>6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2</v>
      </c>
      <c r="AE12" s="120">
        <f>AD12*AD3</f>
        <v>8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>
        <f t="shared" si="8"/>
        <v>1</v>
      </c>
      <c r="E18" s="1">
        <f t="shared" si="8"/>
        <v>1</v>
      </c>
      <c r="F18" s="1" t="str">
        <f t="shared" si="8"/>
        <v>AS</v>
      </c>
      <c r="G18" s="1">
        <f t="shared" si="8"/>
        <v>1</v>
      </c>
      <c r="H18" s="1">
        <f t="shared" si="8"/>
        <v>2</v>
      </c>
      <c r="I18" s="1">
        <f t="shared" si="8"/>
        <v>2</v>
      </c>
      <c r="J18" s="1">
        <f t="shared" si="8"/>
        <v>3</v>
      </c>
      <c r="K18" s="1">
        <f t="shared" si="8"/>
        <v>3</v>
      </c>
      <c r="L18" s="1">
        <f t="shared" si="8"/>
        <v>3</v>
      </c>
      <c r="M18" s="1">
        <f t="shared" si="8"/>
        <v>3</v>
      </c>
      <c r="N18" s="1">
        <f t="shared" si="8"/>
        <v>4</v>
      </c>
      <c r="O18" s="1">
        <f t="shared" si="8"/>
        <v>5</v>
      </c>
      <c r="P18" s="1">
        <f t="shared" si="8"/>
        <v>5</v>
      </c>
      <c r="Q18" s="1">
        <f t="shared" si="8"/>
        <v>5</v>
      </c>
      <c r="R18" s="1">
        <f t="shared" si="8"/>
        <v>4</v>
      </c>
      <c r="S18" s="1">
        <f t="shared" si="8"/>
        <v>3.5</v>
      </c>
      <c r="T18" s="1">
        <f t="shared" si="8"/>
        <v>3</v>
      </c>
      <c r="U18" s="1">
        <f t="shared" si="8"/>
        <v>2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/>
      </c>
      <c r="F19" s="1" t="str">
        <f t="shared" si="9"/>
        <v>🚩</v>
      </c>
      <c r="G19" s="1" t="str">
        <f t="shared" si="9"/>
        <v/>
      </c>
      <c r="H19" s="1" t="str">
        <f t="shared" si="9"/>
        <v/>
      </c>
      <c r="I19" s="1" t="str">
        <f t="shared" si="9"/>
        <v/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/>
      </c>
      <c r="P19" s="1" t="str">
        <f t="shared" si="10"/>
        <v/>
      </c>
      <c r="Q19" s="1" t="str">
        <f t="shared" si="10"/>
        <v/>
      </c>
      <c r="R19" s="1" t="str">
        <f t="shared" si="10"/>
        <v>🚩</v>
      </c>
      <c r="S19" s="1" t="str">
        <f t="shared" si="10"/>
        <v>💩</v>
      </c>
      <c r="T19" s="1" t="str">
        <f t="shared" si="10"/>
        <v>💩</v>
      </c>
      <c r="U19" s="1" t="str">
        <f t="shared" si="10"/>
        <v>🧻</v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>🚩</v>
      </c>
      <c r="E20" s="1" t="str">
        <f t="shared" si="11"/>
        <v/>
      </c>
      <c r="F20" s="1" t="str">
        <f t="shared" si="11"/>
        <v/>
      </c>
      <c r="G20" s="1" t="str">
        <f t="shared" si="11"/>
        <v>🚩</v>
      </c>
      <c r="H20" s="1" t="str">
        <f t="shared" si="11"/>
        <v>🚩</v>
      </c>
      <c r="I20" s="1" t="str">
        <f t="shared" si="11"/>
        <v/>
      </c>
      <c r="J20" s="1" t="str">
        <f t="shared" si="11"/>
        <v>🧻</v>
      </c>
      <c r="K20" s="1" t="str">
        <f t="shared" si="11"/>
        <v/>
      </c>
      <c r="L20" s="1"/>
      <c r="M20" s="1" t="str">
        <f t="shared" ref="M20:U20" si="12">IF(M$5&gt;M$7,M8,)</f>
        <v/>
      </c>
      <c r="N20" s="1" t="str">
        <f t="shared" si="12"/>
        <v>🚩</v>
      </c>
      <c r="O20" s="1" t="str">
        <f t="shared" si="12"/>
        <v>🚩</v>
      </c>
      <c r="P20" s="1" t="str">
        <f t="shared" si="12"/>
        <v/>
      </c>
      <c r="Q20" s="1" t="str">
        <f t="shared" si="12"/>
        <v/>
      </c>
      <c r="R20" s="1" t="str">
        <f t="shared" si="12"/>
        <v/>
      </c>
      <c r="S20" s="1" t="str">
        <f t="shared" si="12"/>
        <v/>
      </c>
      <c r="T20" s="1" t="str">
        <f t="shared" si="12"/>
        <v/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 t="str">
        <f>IFS(E19=$AD$4,Rules!$G$3,E19=$AD$5,Rules!$G$4,E19=$AD$6,Rules!$G$5,E19=$AD$7,Rules!$G$6,E19=$AD$8,Rules!$G$7,E19="",)</f>
        <v/>
      </c>
      <c r="F22" s="1">
        <f>IFS(F19=$AD$4,Rules!$G$3,F19=$AD$5,Rules!$G$4,F19=$AD$6,Rules!$G$5,F19=$AD$7,Rules!$G$6,F19=$AD$8,Rules!$G$7,F19="",)</f>
        <v>1</v>
      </c>
      <c r="G22" s="1" t="str">
        <f>IFS(G19=$AD$4,Rules!$G$3,G19=$AD$5,Rules!$G$4,G19=$AD$6,Rules!$G$5,G19=$AD$7,Rules!$G$6,G19=$AD$8,Rules!$G$7,G19="",)</f>
        <v/>
      </c>
      <c r="H22" s="1" t="str">
        <f>IFS(H19=$AD$4,Rules!$G$3,H19=$AD$5,Rules!$G$4,H19=$AD$6,Rules!$G$5,H19=$AD$7,Rules!$G$6,H19=$AD$8,Rules!$G$7,H19="",)</f>
        <v/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 t="str">
        <f>IFS(O19=$AD$4,Rules!$G$3,O19=$AD$5,Rules!$G$4,O19=$AD$6,Rules!$G$5,O19=$AD$7,Rules!$G$6,O19=$AD$8,Rules!$G$7,O19="",)</f>
        <v/>
      </c>
      <c r="P22" s="1" t="str">
        <f>IFS(P19=$AD$4,Rules!$G$3,P19=$AD$5,Rules!$G$4,P19=$AD$6,Rules!$G$5,P19=$AD$7,Rules!$G$6,P19=$AD$8,Rules!$G$7,P19="",)</f>
        <v/>
      </c>
      <c r="Q22" s="1" t="str">
        <f>IFS(Q19=$AD$4,Rules!$G$3,Q19=$AD$5,Rules!$G$4,Q19=$AD$6,Rules!$G$5,Q19=$AD$7,Rules!$G$6,Q19=$AD$8,Rules!$G$7,Q19="",)</f>
        <v/>
      </c>
      <c r="R22" s="1">
        <f>IFS(R19=$AD$4,Rules!$G$3,R19=$AD$5,Rules!$G$4,R19=$AD$6,Rules!$G$5,R19=$AD$7,Rules!$G$6,R19=$AD$8,Rules!$G$7,R19="",)</f>
        <v>1</v>
      </c>
      <c r="S22" s="1">
        <f>IFS(S19=$AD$4,Rules!$G$3,S19=$AD$5,Rules!$G$4,S19=$AD$6,Rules!$G$5,S19=$AD$7,Rules!$G$6,S19=$AD$8,Rules!$G$7,S19="",)</f>
        <v>0.5</v>
      </c>
      <c r="T22" s="1">
        <f>IFS(T19=$AD$4,Rules!$G$3,T19=$AD$5,Rules!$G$4,T19=$AD$6,Rules!$G$5,T19=$AD$7,Rules!$G$6,T19=$AD$8,Rules!$G$7,T19="",)</f>
        <v>0.5</v>
      </c>
      <c r="U22" s="1">
        <f>IFS(U19=$AD$4,Rules!$G$3,U19=$AD$5,Rules!$G$4,U19=$AD$6,Rules!$G$5,U19=$AD$7,Rules!$G$6,U19=$AD$8,Rules!$G$7,U19="",)</f>
        <v>1</v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>
        <f>IFS(D20=$AD$4,Rules!$G$3,D20=$AD$5,Rules!$G$4,D20=$AD$6,Rules!$G$5,D20=$AD$7,Rules!$G$6,D20=$AD$8,Rules!$G$7,D20="",)</f>
        <v>1</v>
      </c>
      <c r="E23" s="1" t="str">
        <f>IFS(E20=$AD$4,Rules!$G$3,E20=$AD$5,Rules!$G$4,E20=$AD$6,Rules!$G$5,E20=$AD$7,Rules!$G$6,E20=$AD$8,Rules!$G$7,E20="",)</f>
        <v/>
      </c>
      <c r="F23" s="1" t="str">
        <f>IFS(F20=$AD$4,Rules!$G$3,F20=$AD$5,Rules!$G$4,F20=$AD$6,Rules!$G$5,F20=$AD$7,Rules!$G$6,F20=$AD$8,Rules!$G$7,F20="",)</f>
        <v/>
      </c>
      <c r="G23" s="1">
        <f>IFS(G20=$AD$4,Rules!$G$3,G20=$AD$5,Rules!$G$4,G20=$AD$6,Rules!$G$5,G20=$AD$7,Rules!$G$6,G20=$AD$8,Rules!$G$7,G20="",)</f>
        <v>1</v>
      </c>
      <c r="H23" s="1">
        <f>IFS(H20=$AD$4,Rules!$G$3,H20=$AD$5,Rules!$G$4,H20=$AD$6,Rules!$G$5,H20=$AD$7,Rules!$G$6,H20=$AD$8,Rules!$G$7,H20="",)</f>
        <v>1</v>
      </c>
      <c r="I23" s="1" t="str">
        <f>IFS(I20=$AD$4,Rules!$G$3,I20=$AD$5,Rules!$G$4,I20=$AD$6,Rules!$G$5,I20=$AD$7,Rules!$G$6,I20=$AD$8,Rules!$G$7,I20="",)</f>
        <v/>
      </c>
      <c r="J23" s="1">
        <f>IFS(J20=$AD$4,Rules!$G$3,J20=$AD$5,Rules!$G$4,J20=$AD$6,Rules!$G$5,J20=$AD$7,Rules!$G$6,J20=$AD$8,Rules!$G$7,J20="",)</f>
        <v>1</v>
      </c>
      <c r="K23" s="1" t="str">
        <f>IFS(K20=$AD$4,Rules!$G$3,K20=$AD$5,Rules!$G$4,K20=$AD$6,Rules!$G$5,K20=$AD$7,Rules!$G$6,K20=$AD$8,Rules!$G$7,K20="",)</f>
        <v/>
      </c>
      <c r="L23" s="1"/>
      <c r="M23" s="1" t="str">
        <f>IFS(M20=$AD$4,Rules!$G$3,M20=$AD$5,Rules!$G$4,M20=$AD$6,Rules!$G$5,M20=$AD$7,Rules!$G$6,M20=$AD$8,Rules!$G$7,M20="",)</f>
        <v/>
      </c>
      <c r="N23" s="1">
        <f>IFS(N20=$AD$4,Rules!$G$3,N20=$AD$5,Rules!$G$4,N20=$AD$6,Rules!$G$5,N20=$AD$7,Rules!$G$6,N20=$AD$8,Rules!$G$7,N20="",)</f>
        <v>1</v>
      </c>
      <c r="O23" s="1">
        <f>IFS(O20=$AD$4,Rules!$G$3,O20=$AD$5,Rules!$G$4,O20=$AD$6,Rules!$G$5,O20=$AD$7,Rules!$G$6,O20=$AD$8,Rules!$G$7,O20="",)</f>
        <v>1</v>
      </c>
      <c r="P23" s="1" t="str">
        <f>IFS(P20=$AD$4,Rules!$G$3,P20=$AD$5,Rules!$G$4,P20=$AD$6,Rules!$G$5,P20=$AD$7,Rules!$G$6,P20=$AD$8,Rules!$G$7,P20="",)</f>
        <v/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 t="str">
        <f>IFS(S20=$AD$4,Rules!$G$3,S20=$AD$5,Rules!$G$4,S20=$AD$6,Rules!$G$5,S20=$AD$7,Rules!$G$6,S20=$AD$8,Rules!$G$7,S20="",)</f>
        <v/>
      </c>
      <c r="T23" s="1" t="str">
        <f>IFS(T20=$AD$4,Rules!$G$3,T20=$AD$5,Rules!$G$4,T20=$AD$6,Rules!$G$5,T20=$AD$7,Rules!$G$6,T20=$AD$8,Rules!$G$7,T20="",)</f>
        <v/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0</v>
      </c>
      <c r="F24" s="1">
        <f t="shared" si="13"/>
        <v>1</v>
      </c>
      <c r="G24" s="1">
        <f t="shared" si="13"/>
        <v>1</v>
      </c>
      <c r="H24" s="1">
        <f t="shared" si="13"/>
        <v>1</v>
      </c>
      <c r="I24" s="1">
        <f t="shared" si="13"/>
        <v>1</v>
      </c>
      <c r="J24" s="1">
        <f t="shared" si="13"/>
        <v>1</v>
      </c>
      <c r="K24" s="1">
        <f t="shared" si="13"/>
        <v>1</v>
      </c>
      <c r="L24" s="1">
        <f t="shared" si="13"/>
        <v>1</v>
      </c>
      <c r="M24" s="1">
        <f t="shared" si="13"/>
        <v>1</v>
      </c>
      <c r="N24" s="1">
        <f t="shared" si="13"/>
        <v>1</v>
      </c>
      <c r="O24" s="1">
        <f t="shared" si="13"/>
        <v>1</v>
      </c>
      <c r="P24" s="1">
        <f t="shared" si="13"/>
        <v>1</v>
      </c>
      <c r="Q24" s="1">
        <f t="shared" si="13"/>
        <v>1</v>
      </c>
      <c r="R24" s="1">
        <f t="shared" si="13"/>
        <v>2</v>
      </c>
      <c r="S24" s="1">
        <f t="shared" si="13"/>
        <v>2.5</v>
      </c>
      <c r="T24" s="1">
        <f t="shared" si="13"/>
        <v>3</v>
      </c>
      <c r="U24" s="1">
        <f t="shared" si="13"/>
        <v>4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1</v>
      </c>
      <c r="E25" s="1">
        <f t="shared" si="15"/>
        <v>1</v>
      </c>
      <c r="F25" s="1">
        <f t="shared" si="15"/>
        <v>1</v>
      </c>
      <c r="G25" s="1">
        <f t="shared" si="15"/>
        <v>2</v>
      </c>
      <c r="H25" s="1">
        <f t="shared" si="15"/>
        <v>3</v>
      </c>
      <c r="I25" s="1">
        <f t="shared" si="15"/>
        <v>3</v>
      </c>
      <c r="J25" s="1">
        <f t="shared" si="15"/>
        <v>4</v>
      </c>
      <c r="K25" s="1">
        <f t="shared" si="15"/>
        <v>4</v>
      </c>
      <c r="L25" s="1">
        <f t="shared" si="15"/>
        <v>4</v>
      </c>
      <c r="M25" s="1">
        <f t="shared" si="15"/>
        <v>4</v>
      </c>
      <c r="N25" s="1">
        <f t="shared" si="15"/>
        <v>5</v>
      </c>
      <c r="O25" s="1">
        <f t="shared" si="15"/>
        <v>6</v>
      </c>
      <c r="P25" s="1">
        <f t="shared" si="15"/>
        <v>6</v>
      </c>
      <c r="Q25" s="1">
        <f t="shared" si="15"/>
        <v>6</v>
      </c>
      <c r="R25" s="1">
        <f t="shared" si="15"/>
        <v>6</v>
      </c>
      <c r="S25" s="1">
        <f t="shared" si="15"/>
        <v>6</v>
      </c>
      <c r="T25" s="1">
        <f t="shared" si="15"/>
        <v>6</v>
      </c>
      <c r="U25" s="1">
        <f t="shared" si="15"/>
        <v>6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87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46069.0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5.0</v>
      </c>
      <c r="AE3" s="93" t="str">
        <f>Rules!J3</f>
        <v>Trey</v>
      </c>
    </row>
    <row r="4">
      <c r="A4" s="8"/>
      <c r="B4" s="89" t="s">
        <v>18</v>
      </c>
      <c r="C4" s="37">
        <v>4.0</v>
      </c>
      <c r="D4" s="37">
        <v>4.0</v>
      </c>
      <c r="E4" s="37">
        <v>3.0</v>
      </c>
      <c r="F4" s="37">
        <v>5.0</v>
      </c>
      <c r="G4" s="37">
        <v>4.0</v>
      </c>
      <c r="H4" s="37">
        <v>4.0</v>
      </c>
      <c r="I4" s="37">
        <v>5.0</v>
      </c>
      <c r="J4" s="37">
        <v>3.0</v>
      </c>
      <c r="K4" s="37">
        <v>4.0</v>
      </c>
      <c r="L4" s="94">
        <f t="shared" ref="L4:L5" si="1">SUM(C4:K4)</f>
        <v>36</v>
      </c>
      <c r="M4" s="37">
        <v>4.0</v>
      </c>
      <c r="N4" s="37">
        <v>5.0</v>
      </c>
      <c r="O4" s="37">
        <v>4.0</v>
      </c>
      <c r="P4" s="37">
        <v>3.0</v>
      </c>
      <c r="Q4" s="37">
        <v>4.0</v>
      </c>
      <c r="R4" s="37">
        <v>4.0</v>
      </c>
      <c r="S4" s="37">
        <v>4.0</v>
      </c>
      <c r="T4" s="37">
        <v>3.0</v>
      </c>
      <c r="U4" s="37">
        <v>5.0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5.0</v>
      </c>
      <c r="D5" s="97">
        <v>6.0</v>
      </c>
      <c r="E5" s="97">
        <v>4.0</v>
      </c>
      <c r="F5" s="97">
        <v>5.0</v>
      </c>
      <c r="G5" s="97">
        <v>6.0</v>
      </c>
      <c r="H5" s="97">
        <v>4.0</v>
      </c>
      <c r="I5" s="97">
        <v>7.0</v>
      </c>
      <c r="J5" s="97">
        <v>4.0</v>
      </c>
      <c r="K5" s="97">
        <v>6.0</v>
      </c>
      <c r="L5" s="98">
        <f t="shared" si="1"/>
        <v>47</v>
      </c>
      <c r="M5" s="97">
        <v>4.0</v>
      </c>
      <c r="N5" s="97">
        <v>5.0</v>
      </c>
      <c r="O5" s="97">
        <v>5.0</v>
      </c>
      <c r="P5" s="97">
        <v>4.0</v>
      </c>
      <c r="Q5" s="97">
        <v>5.0</v>
      </c>
      <c r="R5" s="97">
        <v>6.0</v>
      </c>
      <c r="S5" s="97">
        <v>4.0</v>
      </c>
      <c r="T5" s="97">
        <v>4.0</v>
      </c>
      <c r="U5" s="97">
        <v>4.0</v>
      </c>
      <c r="V5" s="98">
        <f t="shared" si="2"/>
        <v>41</v>
      </c>
      <c r="W5" s="99">
        <f t="shared" si="3"/>
        <v>88</v>
      </c>
      <c r="X5" s="100" t="str">
        <f>IFS(W5&gt;$W$4,"+",$W$4&gt;W5,"")</f>
        <v>+</v>
      </c>
      <c r="Y5" s="100">
        <f>W5-$W$4</f>
        <v>16</v>
      </c>
      <c r="Z5" s="101" t="str">
        <f>X5&amp;Y5</f>
        <v>+16</v>
      </c>
      <c r="AA5" s="1"/>
      <c r="AB5" s="16" t="s">
        <v>41</v>
      </c>
      <c r="AC5" s="44">
        <f>COUNTIF($C$6:$U$6,"🐥")</f>
        <v>1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🧻</v>
      </c>
      <c r="D6" s="103" t="str">
        <f t="shared" si="4"/>
        <v>💩</v>
      </c>
      <c r="E6" s="103" t="str">
        <f t="shared" si="4"/>
        <v>🧻</v>
      </c>
      <c r="F6" s="103" t="str">
        <f t="shared" si="4"/>
        <v>🚩</v>
      </c>
      <c r="G6" s="103" t="str">
        <f t="shared" si="4"/>
        <v>💩</v>
      </c>
      <c r="H6" s="103" t="str">
        <f t="shared" si="4"/>
        <v>🚩</v>
      </c>
      <c r="I6" s="103" t="str">
        <f t="shared" si="4"/>
        <v>💩</v>
      </c>
      <c r="J6" s="103" t="str">
        <f t="shared" si="4"/>
        <v>🧻</v>
      </c>
      <c r="K6" s="103" t="str">
        <f t="shared" si="4"/>
        <v>💩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🚩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🧻</v>
      </c>
      <c r="R6" s="103" t="str">
        <f t="shared" si="5"/>
        <v>💩</v>
      </c>
      <c r="S6" s="103" t="str">
        <f t="shared" si="5"/>
        <v>🚩</v>
      </c>
      <c r="T6" s="103" t="str">
        <f t="shared" si="5"/>
        <v>🧻</v>
      </c>
      <c r="U6" s="103" t="str">
        <f t="shared" si="5"/>
        <v>🐥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5</v>
      </c>
      <c r="AD6" s="17" t="s">
        <v>19</v>
      </c>
      <c r="AE6" s="68">
        <f>COUNTIF($C$8:$U$8,"🚩")</f>
        <v>7</v>
      </c>
    </row>
    <row r="7">
      <c r="A7" s="8"/>
      <c r="B7" s="107" t="str">
        <f>AE3</f>
        <v>Trey</v>
      </c>
      <c r="C7" s="97">
        <v>5.0</v>
      </c>
      <c r="D7" s="97">
        <v>5.0</v>
      </c>
      <c r="E7" s="97">
        <v>3.0</v>
      </c>
      <c r="F7" s="97">
        <v>5.0</v>
      </c>
      <c r="G7" s="97">
        <v>6.0</v>
      </c>
      <c r="H7" s="97">
        <v>6.0</v>
      </c>
      <c r="I7" s="97">
        <v>5.0</v>
      </c>
      <c r="J7" s="97">
        <v>3.0</v>
      </c>
      <c r="K7" s="97">
        <v>5.0</v>
      </c>
      <c r="L7" s="98">
        <f>SUM(C7:K7)</f>
        <v>43</v>
      </c>
      <c r="M7" s="97">
        <v>6.0</v>
      </c>
      <c r="N7" s="97">
        <v>7.0</v>
      </c>
      <c r="O7" s="97">
        <v>5.0</v>
      </c>
      <c r="P7" s="97">
        <v>5.0</v>
      </c>
      <c r="Q7" s="97">
        <v>4.0</v>
      </c>
      <c r="R7" s="97">
        <v>5.0</v>
      </c>
      <c r="S7" s="97">
        <v>5.0</v>
      </c>
      <c r="T7" s="97">
        <v>3.0</v>
      </c>
      <c r="U7" s="97">
        <v>5.0</v>
      </c>
      <c r="V7" s="98">
        <f>SUM(M7:U7)</f>
        <v>45</v>
      </c>
      <c r="W7" s="99">
        <f>SUM(L7+V7)</f>
        <v>88</v>
      </c>
      <c r="X7" s="100" t="str">
        <f>IFS(W7&gt;$W$4,"+",$W$4&gt;W7,"")</f>
        <v>+</v>
      </c>
      <c r="Y7" s="100">
        <f>W7-$W$4</f>
        <v>16</v>
      </c>
      <c r="Z7" s="101" t="str">
        <f>X7&amp;Y7</f>
        <v>+16</v>
      </c>
      <c r="AB7" s="16" t="s">
        <v>43</v>
      </c>
      <c r="AC7" s="44">
        <f>COUNTIF($C$6:$U$6,"🧻")</f>
        <v>7</v>
      </c>
      <c r="AD7" s="17" t="s">
        <v>23</v>
      </c>
      <c r="AE7" s="68">
        <f>COUNTIF($C$8:$U$8,"🧻")</f>
        <v>6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🧻</v>
      </c>
      <c r="E8" s="80" t="str">
        <f t="shared" si="6"/>
        <v>🚩</v>
      </c>
      <c r="F8" s="80" t="str">
        <f t="shared" si="6"/>
        <v>🚩</v>
      </c>
      <c r="G8" s="80" t="str">
        <f t="shared" si="6"/>
        <v>💩</v>
      </c>
      <c r="H8" s="80" t="str">
        <f t="shared" si="6"/>
        <v>💩</v>
      </c>
      <c r="I8" s="80" t="str">
        <f t="shared" si="6"/>
        <v>🚩</v>
      </c>
      <c r="J8" s="80" t="str">
        <f t="shared" si="6"/>
        <v>🚩</v>
      </c>
      <c r="K8" s="80" t="str">
        <f t="shared" si="6"/>
        <v>🧻</v>
      </c>
      <c r="L8" s="109"/>
      <c r="M8" s="80" t="str">
        <f t="shared" ref="M8:U8" si="7">IFS(M$4-M7=1,$AD$5,M$4-M7=2,$AD$4,M$4=M7,$AD$6,M$4-M7=-1,$AD$7,M$4-M7=-2,$AD$8,M$4-M7=-3,$AD$9)</f>
        <v>💩</v>
      </c>
      <c r="N8" s="80" t="str">
        <f t="shared" si="7"/>
        <v>💩</v>
      </c>
      <c r="O8" s="80" t="str">
        <f t="shared" si="7"/>
        <v>🧻</v>
      </c>
      <c r="P8" s="80" t="str">
        <f t="shared" si="7"/>
        <v>💩</v>
      </c>
      <c r="Q8" s="80" t="str">
        <f t="shared" si="7"/>
        <v>🚩</v>
      </c>
      <c r="R8" s="80" t="str">
        <f t="shared" si="7"/>
        <v>🧻</v>
      </c>
      <c r="S8" s="80" t="str">
        <f t="shared" si="7"/>
        <v>🧻</v>
      </c>
      <c r="T8" s="80" t="str">
        <f t="shared" si="7"/>
        <v>🚩</v>
      </c>
      <c r="U8" s="80" t="str">
        <f t="shared" si="7"/>
        <v>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5</v>
      </c>
      <c r="AD8" s="17" t="s">
        <v>27</v>
      </c>
      <c r="AE8" s="68">
        <f>COUNTIF($C$8:$U$8,"💩")</f>
        <v>5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0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6</v>
      </c>
      <c r="AD10" s="113"/>
      <c r="AE10" s="114">
        <f>Count(C23:U23)</f>
        <v>8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7</v>
      </c>
      <c r="AD11" s="80"/>
      <c r="AE11" s="112">
        <f>U25</f>
        <v>8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1</v>
      </c>
      <c r="AE12" s="120">
        <f>AD12*AD3</f>
        <v>5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 t="str">
        <f t="shared" ref="C18:U18" si="8">IFS(C24&gt;C25,C24-C25,C25&gt;C24,C25-C24,C24=C25,"AS")</f>
        <v>AS</v>
      </c>
      <c r="D18" s="1">
        <f t="shared" si="8"/>
        <v>1</v>
      </c>
      <c r="E18" s="1">
        <f t="shared" si="8"/>
        <v>2</v>
      </c>
      <c r="F18" s="1">
        <f t="shared" si="8"/>
        <v>2</v>
      </c>
      <c r="G18" s="1">
        <f t="shared" si="8"/>
        <v>2</v>
      </c>
      <c r="H18" s="1">
        <f t="shared" si="8"/>
        <v>1</v>
      </c>
      <c r="I18" s="1">
        <f t="shared" si="8"/>
        <v>2</v>
      </c>
      <c r="J18" s="1">
        <f t="shared" si="8"/>
        <v>3</v>
      </c>
      <c r="K18" s="1">
        <f t="shared" si="8"/>
        <v>4</v>
      </c>
      <c r="L18" s="1">
        <f t="shared" si="8"/>
        <v>4</v>
      </c>
      <c r="M18" s="1">
        <f t="shared" si="8"/>
        <v>3</v>
      </c>
      <c r="N18" s="1">
        <f t="shared" si="8"/>
        <v>2</v>
      </c>
      <c r="O18" s="1">
        <f t="shared" si="8"/>
        <v>2</v>
      </c>
      <c r="P18" s="1">
        <f t="shared" si="8"/>
        <v>1</v>
      </c>
      <c r="Q18" s="1">
        <f t="shared" si="8"/>
        <v>2</v>
      </c>
      <c r="R18" s="1">
        <f t="shared" si="8"/>
        <v>3</v>
      </c>
      <c r="S18" s="1">
        <f t="shared" si="8"/>
        <v>2</v>
      </c>
      <c r="T18" s="1">
        <f t="shared" si="8"/>
        <v>3</v>
      </c>
      <c r="U18" s="1">
        <f t="shared" si="8"/>
        <v>1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/>
      </c>
      <c r="F19" s="1" t="str">
        <f t="shared" si="9"/>
        <v/>
      </c>
      <c r="G19" s="1" t="str">
        <f t="shared" si="9"/>
        <v/>
      </c>
      <c r="H19" s="1" t="str">
        <f t="shared" si="9"/>
        <v>🚩</v>
      </c>
      <c r="I19" s="1" t="str">
        <f t="shared" si="9"/>
        <v/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>🚩</v>
      </c>
      <c r="N19" s="1" t="str">
        <f t="shared" si="10"/>
        <v>🚩</v>
      </c>
      <c r="O19" s="1" t="str">
        <f t="shared" si="10"/>
        <v/>
      </c>
      <c r="P19" s="1" t="str">
        <f t="shared" si="10"/>
        <v>🧻</v>
      </c>
      <c r="Q19" s="1" t="str">
        <f t="shared" si="10"/>
        <v/>
      </c>
      <c r="R19" s="1" t="str">
        <f t="shared" si="10"/>
        <v/>
      </c>
      <c r="S19" s="1" t="str">
        <f t="shared" si="10"/>
        <v>🚩</v>
      </c>
      <c r="T19" s="1" t="str">
        <f t="shared" si="10"/>
        <v/>
      </c>
      <c r="U19" s="1" t="str">
        <f t="shared" si="10"/>
        <v>🐥</v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/>
      </c>
      <c r="D20" s="1" t="str">
        <f t="shared" si="11"/>
        <v>🧻</v>
      </c>
      <c r="E20" s="1" t="str">
        <f t="shared" si="11"/>
        <v>🚩</v>
      </c>
      <c r="F20" s="1" t="str">
        <f t="shared" si="11"/>
        <v/>
      </c>
      <c r="G20" s="1" t="str">
        <f t="shared" si="11"/>
        <v/>
      </c>
      <c r="H20" s="1" t="str">
        <f t="shared" si="11"/>
        <v/>
      </c>
      <c r="I20" s="1" t="str">
        <f t="shared" si="11"/>
        <v>🚩</v>
      </c>
      <c r="J20" s="1" t="str">
        <f t="shared" si="11"/>
        <v>🚩</v>
      </c>
      <c r="K20" s="1" t="str">
        <f t="shared" si="11"/>
        <v>🧻</v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/>
      </c>
      <c r="P20" s="1" t="str">
        <f t="shared" si="12"/>
        <v/>
      </c>
      <c r="Q20" s="1" t="str">
        <f t="shared" si="12"/>
        <v>🚩</v>
      </c>
      <c r="R20" s="1" t="str">
        <f t="shared" si="12"/>
        <v>🧻</v>
      </c>
      <c r="S20" s="1" t="str">
        <f t="shared" si="12"/>
        <v/>
      </c>
      <c r="T20" s="1" t="str">
        <f t="shared" si="12"/>
        <v>🚩</v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 t="str">
        <f>IFS(E19=$AD$4,Rules!$G$3,E19=$AD$5,Rules!$G$4,E19=$AD$6,Rules!$G$5,E19=$AD$7,Rules!$G$6,E19=$AD$8,Rules!$G$7,E19="",)</f>
        <v/>
      </c>
      <c r="F22" s="1" t="str">
        <f>IFS(F19=$AD$4,Rules!$G$3,F19=$AD$5,Rules!$G$4,F19=$AD$6,Rules!$G$5,F19=$AD$7,Rules!$G$6,F19=$AD$8,Rules!$G$7,F19="",)</f>
        <v/>
      </c>
      <c r="G22" s="1" t="str">
        <f>IFS(G19=$AD$4,Rules!$G$3,G19=$AD$5,Rules!$G$4,G19=$AD$6,Rules!$G$5,G19=$AD$7,Rules!$G$6,G19=$AD$8,Rules!$G$7,G19="",)</f>
        <v/>
      </c>
      <c r="H22" s="1">
        <f>IFS(H19=$AD$4,Rules!$G$3,H19=$AD$5,Rules!$G$4,H19=$AD$6,Rules!$G$5,H19=$AD$7,Rules!$G$6,H19=$AD$8,Rules!$G$7,H19="",)</f>
        <v>1</v>
      </c>
      <c r="I22" s="1" t="str">
        <f>IFS(I19=$AD$4,Rules!$G$3,I19=$AD$5,Rules!$G$4,I19=$AD$6,Rules!$G$5,I19=$AD$7,Rules!$G$6,I19=$AD$8,Rules!$G$7,I19="",)</f>
        <v/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>
        <f>IFS(M19=$AD$4,Rules!$G$3,M19=$AD$5,Rules!$G$4,M19=$AD$6,Rules!$G$5,M19=$AD$7,Rules!$G$6,M19=$AD$8,Rules!$G$7,M19="",)</f>
        <v>1</v>
      </c>
      <c r="N22" s="1">
        <f>IFS(N19=$AD$4,Rules!$G$3,N19=$AD$5,Rules!$G$4,N19=$AD$6,Rules!$G$5,N19=$AD$7,Rules!$G$6,N19=$AD$8,Rules!$G$7,N19="",)</f>
        <v>1</v>
      </c>
      <c r="O22" s="1" t="str">
        <f>IFS(O19=$AD$4,Rules!$G$3,O19=$AD$5,Rules!$G$4,O19=$AD$6,Rules!$G$5,O19=$AD$7,Rules!$G$6,O19=$AD$8,Rules!$G$7,O19="",)</f>
        <v/>
      </c>
      <c r="P22" s="1">
        <f>IFS(P19=$AD$4,Rules!$G$3,P19=$AD$5,Rules!$G$4,P19=$AD$6,Rules!$G$5,P19=$AD$7,Rules!$G$6,P19=$AD$8,Rules!$G$7,P19="",)</f>
        <v>1</v>
      </c>
      <c r="Q22" s="1" t="str">
        <f>IFS(Q19=$AD$4,Rules!$G$3,Q19=$AD$5,Rules!$G$4,Q19=$AD$6,Rules!$G$5,Q19=$AD$7,Rules!$G$6,Q19=$AD$8,Rules!$G$7,Q19="",)</f>
        <v/>
      </c>
      <c r="R22" s="1" t="str">
        <f>IFS(R19=$AD$4,Rules!$G$3,R19=$AD$5,Rules!$G$4,R19=$AD$6,Rules!$G$5,R19=$AD$7,Rules!$G$6,R19=$AD$8,Rules!$G$7,R19="",)</f>
        <v/>
      </c>
      <c r="S22" s="1">
        <f>IFS(S19=$AD$4,Rules!$G$3,S19=$AD$5,Rules!$G$4,S19=$AD$6,Rules!$G$5,S19=$AD$7,Rules!$G$6,S19=$AD$8,Rules!$G$7,S19="",)</f>
        <v>1</v>
      </c>
      <c r="T22" s="1" t="str">
        <f>IFS(T19=$AD$4,Rules!$G$3,T19=$AD$5,Rules!$G$4,T19=$AD$6,Rules!$G$5,T19=$AD$7,Rules!$G$6,T19=$AD$8,Rules!$G$7,T19="",)</f>
        <v/>
      </c>
      <c r="U22" s="1">
        <f>IFS(U19=$AD$4,Rules!$G$3,U19=$AD$5,Rules!$G$4,U19=$AD$6,Rules!$G$5,U19=$AD$7,Rules!$G$6,U19=$AD$8,Rules!$G$7,U19="",)</f>
        <v>2</v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 t="str">
        <f>IFS(C20=$AD$4,Rules!$G$3,C20=$AD$5,Rules!$G$4,C20=$AD$6,Rules!$G$5,C20=$AD$7,Rules!$G$6,C20=$AD$8,Rules!$G$7,C20="",)</f>
        <v/>
      </c>
      <c r="D23" s="1">
        <f>IFS(D20=$AD$4,Rules!$G$3,D20=$AD$5,Rules!$G$4,D20=$AD$6,Rules!$G$5,D20=$AD$7,Rules!$G$6,D20=$AD$8,Rules!$G$7,D20="",)</f>
        <v>1</v>
      </c>
      <c r="E23" s="1">
        <f>IFS(E20=$AD$4,Rules!$G$3,E20=$AD$5,Rules!$G$4,E20=$AD$6,Rules!$G$5,E20=$AD$7,Rules!$G$6,E20=$AD$8,Rules!$G$7,E20="",)</f>
        <v>1</v>
      </c>
      <c r="F23" s="1" t="str">
        <f>IFS(F20=$AD$4,Rules!$G$3,F20=$AD$5,Rules!$G$4,F20=$AD$6,Rules!$G$5,F20=$AD$7,Rules!$G$6,F20=$AD$8,Rules!$G$7,F20="",)</f>
        <v/>
      </c>
      <c r="G23" s="1" t="str">
        <f>IFS(G20=$AD$4,Rules!$G$3,G20=$AD$5,Rules!$G$4,G20=$AD$6,Rules!$G$5,G20=$AD$7,Rules!$G$6,G20=$AD$8,Rules!$G$7,G20="",)</f>
        <v/>
      </c>
      <c r="H23" s="1" t="str">
        <f>IFS(H20=$AD$4,Rules!$G$3,H20=$AD$5,Rules!$G$4,H20=$AD$6,Rules!$G$5,H20=$AD$7,Rules!$G$6,H20=$AD$8,Rules!$G$7,H20="",)</f>
        <v/>
      </c>
      <c r="I23" s="1">
        <f>IFS(I20=$AD$4,Rules!$G$3,I20=$AD$5,Rules!$G$4,I20=$AD$6,Rules!$G$5,I20=$AD$7,Rules!$G$6,I20=$AD$8,Rules!$G$7,I20="",)</f>
        <v>1</v>
      </c>
      <c r="J23" s="1">
        <f>IFS(J20=$AD$4,Rules!$G$3,J20=$AD$5,Rules!$G$4,J20=$AD$6,Rules!$G$5,J20=$AD$7,Rules!$G$6,J20=$AD$8,Rules!$G$7,J20="",)</f>
        <v>1</v>
      </c>
      <c r="K23" s="1">
        <f>IFS(K20=$AD$4,Rules!$G$3,K20=$AD$5,Rules!$G$4,K20=$AD$6,Rules!$G$5,K20=$AD$7,Rules!$G$6,K20=$AD$8,Rules!$G$7,K20="",)</f>
        <v>1</v>
      </c>
      <c r="L23" s="1"/>
      <c r="M23" s="1" t="str">
        <f>IFS(M20=$AD$4,Rules!$G$3,M20=$AD$5,Rules!$G$4,M20=$AD$6,Rules!$G$5,M20=$AD$7,Rules!$G$6,M20=$AD$8,Rules!$G$7,M20="",)</f>
        <v/>
      </c>
      <c r="N23" s="1" t="str">
        <f>IFS(N20=$AD$4,Rules!$G$3,N20=$AD$5,Rules!$G$4,N20=$AD$6,Rules!$G$5,N20=$AD$7,Rules!$G$6,N20=$AD$8,Rules!$G$7,N20="",)</f>
        <v/>
      </c>
      <c r="O23" s="1" t="str">
        <f>IFS(O20=$AD$4,Rules!$G$3,O20=$AD$5,Rules!$G$4,O20=$AD$6,Rules!$G$5,O20=$AD$7,Rules!$G$6,O20=$AD$8,Rules!$G$7,O20="",)</f>
        <v/>
      </c>
      <c r="P23" s="1" t="str">
        <f>IFS(P20=$AD$4,Rules!$G$3,P20=$AD$5,Rules!$G$4,P20=$AD$6,Rules!$G$5,P20=$AD$7,Rules!$G$6,P20=$AD$8,Rules!$G$7,P20="",)</f>
        <v/>
      </c>
      <c r="Q23" s="1">
        <f>IFS(Q20=$AD$4,Rules!$G$3,Q20=$AD$5,Rules!$G$4,Q20=$AD$6,Rules!$G$5,Q20=$AD$7,Rules!$G$6,Q20=$AD$8,Rules!$G$7,Q20="",)</f>
        <v>1</v>
      </c>
      <c r="R23" s="1">
        <f>IFS(R20=$AD$4,Rules!$G$3,R20=$AD$5,Rules!$G$4,R20=$AD$6,Rules!$G$5,R20=$AD$7,Rules!$G$6,R20=$AD$8,Rules!$G$7,R20="",)</f>
        <v>1</v>
      </c>
      <c r="S23" s="1" t="str">
        <f>IFS(S20=$AD$4,Rules!$G$3,S20=$AD$5,Rules!$G$4,S20=$AD$6,Rules!$G$5,S20=$AD$7,Rules!$G$6,S20=$AD$8,Rules!$G$7,S20="",)</f>
        <v/>
      </c>
      <c r="T23" s="1">
        <f>IFS(T20=$AD$4,Rules!$G$3,T20=$AD$5,Rules!$G$4,T20=$AD$6,Rules!$G$5,T20=$AD$7,Rules!$G$6,T20=$AD$8,Rules!$G$7,T20="",)</f>
        <v>1</v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0</v>
      </c>
      <c r="F24" s="1">
        <f t="shared" si="13"/>
        <v>0</v>
      </c>
      <c r="G24" s="1">
        <f t="shared" si="13"/>
        <v>0</v>
      </c>
      <c r="H24" s="1">
        <f t="shared" si="13"/>
        <v>1</v>
      </c>
      <c r="I24" s="1">
        <f t="shared" si="13"/>
        <v>1</v>
      </c>
      <c r="J24" s="1">
        <f t="shared" si="13"/>
        <v>1</v>
      </c>
      <c r="K24" s="1">
        <f t="shared" si="13"/>
        <v>1</v>
      </c>
      <c r="L24" s="1">
        <f t="shared" si="13"/>
        <v>1</v>
      </c>
      <c r="M24" s="1">
        <f t="shared" si="13"/>
        <v>2</v>
      </c>
      <c r="N24" s="1">
        <f t="shared" si="13"/>
        <v>3</v>
      </c>
      <c r="O24" s="1">
        <f t="shared" si="13"/>
        <v>3</v>
      </c>
      <c r="P24" s="1">
        <f t="shared" si="13"/>
        <v>4</v>
      </c>
      <c r="Q24" s="1">
        <f t="shared" si="13"/>
        <v>4</v>
      </c>
      <c r="R24" s="1">
        <f t="shared" si="13"/>
        <v>4</v>
      </c>
      <c r="S24" s="1">
        <f t="shared" si="13"/>
        <v>5</v>
      </c>
      <c r="T24" s="1">
        <f t="shared" si="13"/>
        <v>5</v>
      </c>
      <c r="U24" s="1">
        <f t="shared" si="13"/>
        <v>7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4"/>
        <v/>
      </c>
      <c r="D25" s="1">
        <f t="shared" ref="D25:U25" si="15">D23+C25</f>
        <v>1</v>
      </c>
      <c r="E25" s="1">
        <f t="shared" si="15"/>
        <v>2</v>
      </c>
      <c r="F25" s="1">
        <f t="shared" si="15"/>
        <v>2</v>
      </c>
      <c r="G25" s="1">
        <f t="shared" si="15"/>
        <v>2</v>
      </c>
      <c r="H25" s="1">
        <f t="shared" si="15"/>
        <v>2</v>
      </c>
      <c r="I25" s="1">
        <f t="shared" si="15"/>
        <v>3</v>
      </c>
      <c r="J25" s="1">
        <f t="shared" si="15"/>
        <v>4</v>
      </c>
      <c r="K25" s="1">
        <f t="shared" si="15"/>
        <v>5</v>
      </c>
      <c r="L25" s="1">
        <f t="shared" si="15"/>
        <v>5</v>
      </c>
      <c r="M25" s="1">
        <f t="shared" si="15"/>
        <v>5</v>
      </c>
      <c r="N25" s="1">
        <f t="shared" si="15"/>
        <v>5</v>
      </c>
      <c r="O25" s="1">
        <f t="shared" si="15"/>
        <v>5</v>
      </c>
      <c r="P25" s="1">
        <f t="shared" si="15"/>
        <v>5</v>
      </c>
      <c r="Q25" s="1">
        <f t="shared" si="15"/>
        <v>6</v>
      </c>
      <c r="R25" s="1">
        <f t="shared" si="15"/>
        <v>7</v>
      </c>
      <c r="S25" s="1">
        <f t="shared" si="15"/>
        <v>7</v>
      </c>
      <c r="T25" s="1">
        <f t="shared" si="15"/>
        <v>8</v>
      </c>
      <c r="U25" s="1">
        <f t="shared" si="15"/>
        <v>8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50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46060.0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tr">
        <f>Rules!I3</f>
        <v>Trent</v>
      </c>
      <c r="AD3" s="25">
        <v>2.0</v>
      </c>
      <c r="AE3" s="93" t="str">
        <f>Rules!J3</f>
        <v>Trey</v>
      </c>
    </row>
    <row r="4">
      <c r="A4" s="8"/>
      <c r="B4" s="89" t="s">
        <v>18</v>
      </c>
      <c r="C4" s="37">
        <v>5.0</v>
      </c>
      <c r="D4" s="37">
        <v>4.0</v>
      </c>
      <c r="E4" s="37">
        <v>5.0</v>
      </c>
      <c r="F4" s="37">
        <v>3.0</v>
      </c>
      <c r="G4" s="37">
        <v>4.0</v>
      </c>
      <c r="H4" s="37">
        <v>4.0</v>
      </c>
      <c r="I4" s="37">
        <v>4.0</v>
      </c>
      <c r="J4" s="37">
        <v>3.0</v>
      </c>
      <c r="K4" s="37">
        <v>4.0</v>
      </c>
      <c r="L4" s="94">
        <f t="shared" ref="L4:L5" si="1">SUM(C4:K4)</f>
        <v>36</v>
      </c>
      <c r="M4" s="37">
        <v>4.0</v>
      </c>
      <c r="N4" s="37">
        <v>5.0</v>
      </c>
      <c r="O4" s="37">
        <v>5.0</v>
      </c>
      <c r="P4" s="37">
        <v>4.0</v>
      </c>
      <c r="Q4" s="37">
        <v>3.0</v>
      </c>
      <c r="R4" s="37">
        <v>4.0</v>
      </c>
      <c r="S4" s="37">
        <v>3.0</v>
      </c>
      <c r="T4" s="37">
        <v>4.0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tr">
        <f>AC3</f>
        <v>Trent</v>
      </c>
      <c r="C5" s="97">
        <v>7.0</v>
      </c>
      <c r="D5" s="97">
        <v>6.0</v>
      </c>
      <c r="E5" s="97">
        <v>4.0</v>
      </c>
      <c r="F5" s="97">
        <v>3.0</v>
      </c>
      <c r="G5" s="97">
        <v>6.0</v>
      </c>
      <c r="H5" s="97">
        <v>5.0</v>
      </c>
      <c r="I5" s="97">
        <v>4.0</v>
      </c>
      <c r="J5" s="97">
        <v>4.0</v>
      </c>
      <c r="K5" s="97">
        <v>4.0</v>
      </c>
      <c r="L5" s="98">
        <f t="shared" si="1"/>
        <v>43</v>
      </c>
      <c r="M5" s="97">
        <v>6.0</v>
      </c>
      <c r="N5" s="97">
        <v>5.0</v>
      </c>
      <c r="O5" s="97">
        <v>6.0</v>
      </c>
      <c r="P5" s="97">
        <v>5.0</v>
      </c>
      <c r="Q5" s="97">
        <v>3.0</v>
      </c>
      <c r="R5" s="97">
        <v>5.0</v>
      </c>
      <c r="S5" s="97">
        <v>5.0</v>
      </c>
      <c r="T5" s="97">
        <v>5.0</v>
      </c>
      <c r="U5" s="97">
        <v>5.0</v>
      </c>
      <c r="V5" s="98">
        <f t="shared" si="2"/>
        <v>45</v>
      </c>
      <c r="W5" s="99">
        <f t="shared" si="3"/>
        <v>88</v>
      </c>
      <c r="X5" s="100" t="str">
        <f>IFS(W5&gt;$W$4,"+",$W$4&gt;W5,"")</f>
        <v>+</v>
      </c>
      <c r="Y5" s="100">
        <f>W5-$W$4</f>
        <v>16</v>
      </c>
      <c r="Z5" s="101" t="str">
        <f>X5&amp;Y5</f>
        <v>+16</v>
      </c>
      <c r="AA5" s="1"/>
      <c r="AB5" s="16" t="s">
        <v>41</v>
      </c>
      <c r="AC5" s="44">
        <f>COUNTIF($C$6:$U$6,"🐥")</f>
        <v>1</v>
      </c>
      <c r="AD5" s="17" t="s">
        <v>15</v>
      </c>
      <c r="AE5" s="68">
        <f>COUNTIF($C$8:$U$8,"🐥")</f>
        <v>2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💩</v>
      </c>
      <c r="D6" s="103" t="str">
        <f t="shared" si="4"/>
        <v>💩</v>
      </c>
      <c r="E6" s="103" t="str">
        <f t="shared" si="4"/>
        <v>🐥</v>
      </c>
      <c r="F6" s="103" t="str">
        <f t="shared" si="4"/>
        <v>🚩</v>
      </c>
      <c r="G6" s="103" t="str">
        <f t="shared" si="4"/>
        <v>💩</v>
      </c>
      <c r="H6" s="103" t="str">
        <f t="shared" si="4"/>
        <v>🧻</v>
      </c>
      <c r="I6" s="103" t="str">
        <f t="shared" si="4"/>
        <v>🚩</v>
      </c>
      <c r="J6" s="103" t="str">
        <f t="shared" si="4"/>
        <v>🧻</v>
      </c>
      <c r="K6" s="103" t="str">
        <f t="shared" si="4"/>
        <v>🚩</v>
      </c>
      <c r="L6" s="104"/>
      <c r="M6" s="103" t="str">
        <f t="shared" ref="M6:U6" si="5">IFS(M$4-M5=1,$AD$5,M$4-M5=2,$AD$4,M$4=M5,$AD$6,M$4-M5=-1,$AD$7,M$4-M5=-2,$AD$8,M$4-M5=-3,$AD$9)</f>
        <v>💩</v>
      </c>
      <c r="N6" s="103" t="str">
        <f t="shared" si="5"/>
        <v>🚩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🚩</v>
      </c>
      <c r="R6" s="103" t="str">
        <f t="shared" si="5"/>
        <v>🧻</v>
      </c>
      <c r="S6" s="103" t="str">
        <f t="shared" si="5"/>
        <v>💩</v>
      </c>
      <c r="T6" s="103" t="str">
        <f t="shared" si="5"/>
        <v>🧻</v>
      </c>
      <c r="U6" s="103" t="str">
        <f t="shared" si="5"/>
        <v>🧻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5</v>
      </c>
      <c r="AD6" s="17" t="s">
        <v>19</v>
      </c>
      <c r="AE6" s="68">
        <f>COUNTIF($C$8:$U$8,"🚩")</f>
        <v>5</v>
      </c>
    </row>
    <row r="7">
      <c r="A7" s="8"/>
      <c r="B7" s="107" t="str">
        <f>AE3</f>
        <v>Trey</v>
      </c>
      <c r="C7" s="97">
        <v>6.0</v>
      </c>
      <c r="D7" s="97">
        <v>6.0</v>
      </c>
      <c r="E7" s="97">
        <v>5.0</v>
      </c>
      <c r="F7" s="97">
        <v>2.0</v>
      </c>
      <c r="G7" s="97">
        <v>6.0</v>
      </c>
      <c r="H7" s="97">
        <v>6.0</v>
      </c>
      <c r="I7" s="97">
        <v>6.0</v>
      </c>
      <c r="J7" s="97">
        <v>4.0</v>
      </c>
      <c r="K7" s="97">
        <v>4.0</v>
      </c>
      <c r="L7" s="98">
        <f>SUM(C7:K7)</f>
        <v>45</v>
      </c>
      <c r="M7" s="97">
        <v>4.0</v>
      </c>
      <c r="N7" s="97">
        <v>4.0</v>
      </c>
      <c r="O7" s="97">
        <v>5.0</v>
      </c>
      <c r="P7" s="97">
        <v>4.0</v>
      </c>
      <c r="Q7" s="97">
        <v>4.0</v>
      </c>
      <c r="R7" s="97">
        <v>7.0</v>
      </c>
      <c r="S7" s="97">
        <v>4.0</v>
      </c>
      <c r="T7" s="97">
        <v>7.0</v>
      </c>
      <c r="U7" s="97">
        <v>7.0</v>
      </c>
      <c r="V7" s="98">
        <f>SUM(M7:U7)</f>
        <v>46</v>
      </c>
      <c r="W7" s="99">
        <f>SUM(L7+V7)</f>
        <v>91</v>
      </c>
      <c r="X7" s="100" t="str">
        <f>IFS(W7&gt;$W$4,"+",$W$4&gt;W7,"")</f>
        <v>+</v>
      </c>
      <c r="Y7" s="100">
        <f>W7-$W$4</f>
        <v>19</v>
      </c>
      <c r="Z7" s="101" t="str">
        <f>X7&amp;Y7</f>
        <v>+19</v>
      </c>
      <c r="AB7" s="16" t="s">
        <v>43</v>
      </c>
      <c r="AC7" s="44">
        <f>COUNTIF($C$6:$U$6,"🧻")</f>
        <v>7</v>
      </c>
      <c r="AD7" s="17" t="s">
        <v>23</v>
      </c>
      <c r="AE7" s="68">
        <f>COUNTIF($C$8:$U$8,"🧻")</f>
        <v>4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💩</v>
      </c>
      <c r="E8" s="80" t="str">
        <f t="shared" si="6"/>
        <v>🚩</v>
      </c>
      <c r="F8" s="80" t="str">
        <f t="shared" si="6"/>
        <v>🐥</v>
      </c>
      <c r="G8" s="80" t="str">
        <f t="shared" si="6"/>
        <v>💩</v>
      </c>
      <c r="H8" s="80" t="str">
        <f t="shared" si="6"/>
        <v>💩</v>
      </c>
      <c r="I8" s="80" t="str">
        <f t="shared" si="6"/>
        <v>💩</v>
      </c>
      <c r="J8" s="80" t="str">
        <f t="shared" si="6"/>
        <v>🧻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🐥</v>
      </c>
      <c r="O8" s="80" t="str">
        <f t="shared" si="7"/>
        <v>🚩</v>
      </c>
      <c r="P8" s="80" t="str">
        <f t="shared" si="7"/>
        <v>🚩</v>
      </c>
      <c r="Q8" s="80" t="str">
        <f t="shared" si="7"/>
        <v>🧻</v>
      </c>
      <c r="R8" s="80" t="str">
        <f t="shared" si="7"/>
        <v>☠️</v>
      </c>
      <c r="S8" s="80" t="str">
        <f t="shared" si="7"/>
        <v>🧻</v>
      </c>
      <c r="T8" s="80" t="str">
        <f t="shared" si="7"/>
        <v>☠️</v>
      </c>
      <c r="U8" s="80" t="str">
        <f t="shared" si="7"/>
        <v>☠️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5</v>
      </c>
      <c r="AD8" s="17" t="s">
        <v>27</v>
      </c>
      <c r="AE8" s="68">
        <f>COUNTIF($C$8:$U$8,"💩")</f>
        <v>4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3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7</v>
      </c>
      <c r="AD10" s="113"/>
      <c r="AE10" s="114">
        <f>Count(C23:U23)</f>
        <v>7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8</v>
      </c>
      <c r="AD11" s="80"/>
      <c r="AE11" s="112">
        <f>U25</f>
        <v>9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IFS(AC11&gt;AE11,AC3,AE11&gt;AC11,AE3,AC11=AE11,"AS")</f>
        <v>Trey</v>
      </c>
      <c r="AD12" s="116">
        <f>IFS(AC11&gt;AE11,AC11-AE11,AE11&gt;AC11,AE11-AC11,AC11=AE11,"AS")</f>
        <v>1</v>
      </c>
      <c r="AE12" s="120">
        <f>AD12*AD3</f>
        <v>2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>
        <f t="shared" si="8"/>
        <v>1</v>
      </c>
      <c r="E18" s="1">
        <f t="shared" si="8"/>
        <v>1</v>
      </c>
      <c r="F18" s="1">
        <f t="shared" si="8"/>
        <v>1</v>
      </c>
      <c r="G18" s="1">
        <f t="shared" si="8"/>
        <v>1</v>
      </c>
      <c r="H18" s="1" t="str">
        <f t="shared" si="8"/>
        <v>AS</v>
      </c>
      <c r="I18" s="1">
        <f t="shared" si="8"/>
        <v>1</v>
      </c>
      <c r="J18" s="1">
        <f t="shared" si="8"/>
        <v>1</v>
      </c>
      <c r="K18" s="1">
        <f t="shared" si="8"/>
        <v>1</v>
      </c>
      <c r="L18" s="1">
        <f t="shared" si="8"/>
        <v>1</v>
      </c>
      <c r="M18" s="1" t="str">
        <f t="shared" si="8"/>
        <v>AS</v>
      </c>
      <c r="N18" s="1">
        <f t="shared" si="8"/>
        <v>2</v>
      </c>
      <c r="O18" s="1">
        <f t="shared" si="8"/>
        <v>3</v>
      </c>
      <c r="P18" s="1">
        <f t="shared" si="8"/>
        <v>4</v>
      </c>
      <c r="Q18" s="1">
        <f t="shared" si="8"/>
        <v>3</v>
      </c>
      <c r="R18" s="1">
        <f t="shared" si="8"/>
        <v>2</v>
      </c>
      <c r="S18" s="1">
        <f t="shared" si="8"/>
        <v>3</v>
      </c>
      <c r="T18" s="1">
        <f t="shared" si="8"/>
        <v>2</v>
      </c>
      <c r="U18" s="1">
        <f t="shared" si="8"/>
        <v>1</v>
      </c>
      <c r="V18" s="1"/>
      <c r="W18" s="1"/>
    </row>
    <row r="19" hidden="1">
      <c r="A19" s="8"/>
      <c r="B19" s="117" t="str">
        <f>AC3</f>
        <v>Trent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>🐥</v>
      </c>
      <c r="F19" s="1" t="str">
        <f t="shared" si="9"/>
        <v/>
      </c>
      <c r="G19" s="1" t="str">
        <f t="shared" si="9"/>
        <v/>
      </c>
      <c r="H19" s="1" t="str">
        <f t="shared" si="9"/>
        <v>🧻</v>
      </c>
      <c r="I19" s="1" t="str">
        <f t="shared" si="9"/>
        <v>🚩</v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/>
      </c>
      <c r="P19" s="1" t="str">
        <f t="shared" si="10"/>
        <v/>
      </c>
      <c r="Q19" s="1" t="str">
        <f t="shared" si="10"/>
        <v>🚩</v>
      </c>
      <c r="R19" s="1" t="str">
        <f t="shared" si="10"/>
        <v>🧻</v>
      </c>
      <c r="S19" s="1" t="str">
        <f t="shared" si="10"/>
        <v/>
      </c>
      <c r="T19" s="1" t="str">
        <f t="shared" si="10"/>
        <v>🧻</v>
      </c>
      <c r="U19" s="1" t="str">
        <f t="shared" si="10"/>
        <v>🧻</v>
      </c>
      <c r="V19" s="1"/>
      <c r="W19" s="1"/>
    </row>
    <row r="20" hidden="1">
      <c r="A20" s="8"/>
      <c r="B20" s="118" t="str">
        <f>AE3</f>
        <v>Trey</v>
      </c>
      <c r="C20" s="1" t="str">
        <f t="shared" ref="C20:K20" si="11">IF(C$5&gt;C$7,C8,)</f>
        <v>🧻</v>
      </c>
      <c r="D20" s="1" t="str">
        <f t="shared" si="11"/>
        <v/>
      </c>
      <c r="E20" s="1" t="str">
        <f t="shared" si="11"/>
        <v/>
      </c>
      <c r="F20" s="1" t="str">
        <f t="shared" si="11"/>
        <v>🐥</v>
      </c>
      <c r="G20" s="1" t="str">
        <f t="shared" si="11"/>
        <v/>
      </c>
      <c r="H20" s="1" t="str">
        <f t="shared" si="11"/>
        <v/>
      </c>
      <c r="I20" s="1" t="str">
        <f t="shared" si="11"/>
        <v/>
      </c>
      <c r="J20" s="1" t="str">
        <f t="shared" si="11"/>
        <v/>
      </c>
      <c r="K20" s="1" t="str">
        <f t="shared" si="11"/>
        <v/>
      </c>
      <c r="L20" s="1"/>
      <c r="M20" s="1" t="str">
        <f t="shared" ref="M20:U20" si="12">IF(M$5&gt;M$7,M8,)</f>
        <v>🚩</v>
      </c>
      <c r="N20" s="1" t="str">
        <f t="shared" si="12"/>
        <v>🐥</v>
      </c>
      <c r="O20" s="1" t="str">
        <f t="shared" si="12"/>
        <v>🚩</v>
      </c>
      <c r="P20" s="1" t="str">
        <f t="shared" si="12"/>
        <v>🚩</v>
      </c>
      <c r="Q20" s="1" t="str">
        <f t="shared" si="12"/>
        <v/>
      </c>
      <c r="R20" s="1" t="str">
        <f t="shared" si="12"/>
        <v/>
      </c>
      <c r="S20" s="1" t="str">
        <f t="shared" si="12"/>
        <v>🧻</v>
      </c>
      <c r="T20" s="1" t="str">
        <f t="shared" si="12"/>
        <v/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tr">
        <f>AC3</f>
        <v>Trent</v>
      </c>
      <c r="C22" s="1" t="str">
        <f>IFS(C19=$AD$4,Rules!$G$3,C19=$AD$5,Rules!$G$4,C19=$AD$6,Rules!$G$5,C19=$AD$7,Rules!$G$6,C19=$AD$8,Rules!$G$7,C19="",)</f>
        <v/>
      </c>
      <c r="D22" s="1" t="str">
        <f>IFS(D19=$AD$4,Rules!$G$3,D19=$AD$5,Rules!$G$4,D19=$AD$6,Rules!$G$5,D19=$AD$7,Rules!$G$6,D19=$AD$8,Rules!$G$7,D19="",)</f>
        <v/>
      </c>
      <c r="E22" s="1">
        <f>IFS(E19=$AD$4,Rules!$G$3,E19=$AD$5,Rules!$G$4,E19=$AD$6,Rules!$G$5,E19=$AD$7,Rules!$G$6,E19=$AD$8,Rules!$G$7,E19="",)</f>
        <v>2</v>
      </c>
      <c r="F22" s="1" t="str">
        <f>IFS(F19=$AD$4,Rules!$G$3,F19=$AD$5,Rules!$G$4,F19=$AD$6,Rules!$G$5,F19=$AD$7,Rules!$G$6,F19=$AD$8,Rules!$G$7,F19="",)</f>
        <v/>
      </c>
      <c r="G22" s="1" t="str">
        <f>IFS(G19=$AD$4,Rules!$G$3,G19=$AD$5,Rules!$G$4,G19=$AD$6,Rules!$G$5,G19=$AD$7,Rules!$G$6,G19=$AD$8,Rules!$G$7,G19="",)</f>
        <v/>
      </c>
      <c r="H22" s="1">
        <f>IFS(H19=$AD$4,Rules!$G$3,H19=$AD$5,Rules!$G$4,H19=$AD$6,Rules!$G$5,H19=$AD$7,Rules!$G$6,H19=$AD$8,Rules!$G$7,H19="",)</f>
        <v>1</v>
      </c>
      <c r="I22" s="1">
        <f>IFS(I19=$AD$4,Rules!$G$3,I19=$AD$5,Rules!$G$4,I19=$AD$6,Rules!$G$5,I19=$AD$7,Rules!$G$6,I19=$AD$8,Rules!$G$7,I19="",)</f>
        <v>1</v>
      </c>
      <c r="J22" s="1" t="str">
        <f>IFS(J19=$AD$4,Rules!$G$3,J19=$AD$5,Rules!$G$4,J19=$AD$6,Rules!$G$5,J19=$AD$7,Rules!$G$6,J19=$AD$8,Rules!$G$7,J19="",)</f>
        <v/>
      </c>
      <c r="K22" s="1" t="str">
        <f>IFS(K19=$AD$4,Rules!$G$3,K19=$AD$5,Rules!$G$4,K19=$AD$6,Rules!$G$5,K19=$AD$7,Rules!$G$6,K19=$AD$8,Rules!$G$7,K19="",)</f>
        <v/>
      </c>
      <c r="L22" s="1"/>
      <c r="M22" s="1" t="str">
        <f>IFS(M19=$AD$4,Rules!$G$3,M19=$AD$5,Rules!$G$4,M19=$AD$6,Rules!$G$5,M19=$AD$7,Rules!$G$6,M19=$AD$8,Rules!$G$7,M19="",)</f>
        <v/>
      </c>
      <c r="N22" s="1" t="str">
        <f>IFS(N19=$AD$4,Rules!$G$3,N19=$AD$5,Rules!$G$4,N19=$AD$6,Rules!$G$5,N19=$AD$7,Rules!$G$6,N19=$AD$8,Rules!$G$7,N19="",)</f>
        <v/>
      </c>
      <c r="O22" s="1" t="str">
        <f>IFS(O19=$AD$4,Rules!$G$3,O19=$AD$5,Rules!$G$4,O19=$AD$6,Rules!$G$5,O19=$AD$7,Rules!$G$6,O19=$AD$8,Rules!$G$7,O19="",)</f>
        <v/>
      </c>
      <c r="P22" s="1" t="str">
        <f>IFS(P19=$AD$4,Rules!$G$3,P19=$AD$5,Rules!$G$4,P19=$AD$6,Rules!$G$5,P19=$AD$7,Rules!$G$6,P19=$AD$8,Rules!$G$7,P19="",)</f>
        <v/>
      </c>
      <c r="Q22" s="1">
        <f>IFS(Q19=$AD$4,Rules!$G$3,Q19=$AD$5,Rules!$G$4,Q19=$AD$6,Rules!$G$5,Q19=$AD$7,Rules!$G$6,Q19=$AD$8,Rules!$G$7,Q19="",)</f>
        <v>1</v>
      </c>
      <c r="R22" s="1">
        <f>IFS(R19=$AD$4,Rules!$G$3,R19=$AD$5,Rules!$G$4,R19=$AD$6,Rules!$G$5,R19=$AD$7,Rules!$G$6,R19=$AD$8,Rules!$G$7,R19="",)</f>
        <v>1</v>
      </c>
      <c r="S22" s="1" t="str">
        <f>IFS(S19=$AD$4,Rules!$G$3,S19=$AD$5,Rules!$G$4,S19=$AD$6,Rules!$G$5,S19=$AD$7,Rules!$G$6,S19=$AD$8,Rules!$G$7,S19="",)</f>
        <v/>
      </c>
      <c r="T22" s="1">
        <f>IFS(T19=$AD$4,Rules!$G$3,T19=$AD$5,Rules!$G$4,T19=$AD$6,Rules!$G$5,T19=$AD$7,Rules!$G$6,T19=$AD$8,Rules!$G$7,T19="",)</f>
        <v>1</v>
      </c>
      <c r="U22" s="1">
        <f>IFS(U19=$AD$4,Rules!$G$3,U19=$AD$5,Rules!$G$4,U19=$AD$6,Rules!$G$5,U19=$AD$7,Rules!$G$6,U19=$AD$8,Rules!$G$7,U19="",)</f>
        <v>1</v>
      </c>
      <c r="V22" s="1"/>
      <c r="W22" s="1"/>
      <c r="AC22" s="1"/>
      <c r="AD22" s="1"/>
      <c r="AE22" s="1"/>
    </row>
    <row r="23" hidden="1">
      <c r="A23" s="8"/>
      <c r="B23" s="118" t="str">
        <f>AE3</f>
        <v>Trey</v>
      </c>
      <c r="C23" s="1">
        <f>IFS(C20=$AD$4,Rules!$G$3,C20=$AD$5,Rules!$G$4,C20=$AD$6,Rules!$G$5,C20=$AD$7,Rules!$G$6,C20=$AD$8,Rules!$G$7,C20="",)</f>
        <v>1</v>
      </c>
      <c r="D23" s="1" t="str">
        <f>IFS(D20=$AD$4,Rules!$G$3,D20=$AD$5,Rules!$G$4,D20=$AD$6,Rules!$G$5,D20=$AD$7,Rules!$G$6,D20=$AD$8,Rules!$G$7,D20="",)</f>
        <v/>
      </c>
      <c r="E23" s="1" t="str">
        <f>IFS(E20=$AD$4,Rules!$G$3,E20=$AD$5,Rules!$G$4,E20=$AD$6,Rules!$G$5,E20=$AD$7,Rules!$G$6,E20=$AD$8,Rules!$G$7,E20="",)</f>
        <v/>
      </c>
      <c r="F23" s="1">
        <f>IFS(F20=$AD$4,Rules!$G$3,F20=$AD$5,Rules!$G$4,F20=$AD$6,Rules!$G$5,F20=$AD$7,Rules!$G$6,F20=$AD$8,Rules!$G$7,F20="",)</f>
        <v>2</v>
      </c>
      <c r="G23" s="1" t="str">
        <f>IFS(G20=$AD$4,Rules!$G$3,G20=$AD$5,Rules!$G$4,G20=$AD$6,Rules!$G$5,G20=$AD$7,Rules!$G$6,G20=$AD$8,Rules!$G$7,G20="",)</f>
        <v/>
      </c>
      <c r="H23" s="1" t="str">
        <f>IFS(H20=$AD$4,Rules!$G$3,H20=$AD$5,Rules!$G$4,H20=$AD$6,Rules!$G$5,H20=$AD$7,Rules!$G$6,H20=$AD$8,Rules!$G$7,H20="",)</f>
        <v/>
      </c>
      <c r="I23" s="1" t="str">
        <f>IFS(I20=$AD$4,Rules!$G$3,I20=$AD$5,Rules!$G$4,I20=$AD$6,Rules!$G$5,I20=$AD$7,Rules!$G$6,I20=$AD$8,Rules!$G$7,I20="",)</f>
        <v/>
      </c>
      <c r="J23" s="1" t="str">
        <f>IFS(J20=$AD$4,Rules!$G$3,J20=$AD$5,Rules!$G$4,J20=$AD$6,Rules!$G$5,J20=$AD$7,Rules!$G$6,J20=$AD$8,Rules!$G$7,J20="",)</f>
        <v/>
      </c>
      <c r="K23" s="1" t="str">
        <f>IFS(K20=$AD$4,Rules!$G$3,K20=$AD$5,Rules!$G$4,K20=$AD$6,Rules!$G$5,K20=$AD$7,Rules!$G$6,K20=$AD$8,Rules!$G$7,K20="",)</f>
        <v/>
      </c>
      <c r="L23" s="1"/>
      <c r="M23" s="1">
        <f>IFS(M20=$AD$4,Rules!$G$3,M20=$AD$5,Rules!$G$4,M20=$AD$6,Rules!$G$5,M20=$AD$7,Rules!$G$6,M20=$AD$8,Rules!$G$7,M20="",)</f>
        <v>1</v>
      </c>
      <c r="N23" s="1">
        <f>IFS(N20=$AD$4,Rules!$G$3,N20=$AD$5,Rules!$G$4,N20=$AD$6,Rules!$G$5,N20=$AD$7,Rules!$G$6,N20=$AD$8,Rules!$G$7,N20="",)</f>
        <v>2</v>
      </c>
      <c r="O23" s="1">
        <f>IFS(O20=$AD$4,Rules!$G$3,O20=$AD$5,Rules!$G$4,O20=$AD$6,Rules!$G$5,O20=$AD$7,Rules!$G$6,O20=$AD$8,Rules!$G$7,O20="",)</f>
        <v>1</v>
      </c>
      <c r="P23" s="1">
        <f>IFS(P20=$AD$4,Rules!$G$3,P20=$AD$5,Rules!$G$4,P20=$AD$6,Rules!$G$5,P20=$AD$7,Rules!$G$6,P20=$AD$8,Rules!$G$7,P20="",)</f>
        <v>1</v>
      </c>
      <c r="Q23" s="1" t="str">
        <f>IFS(Q20=$AD$4,Rules!$G$3,Q20=$AD$5,Rules!$G$4,Q20=$AD$6,Rules!$G$5,Q20=$AD$7,Rules!$G$6,Q20=$AD$8,Rules!$G$7,Q20="",)</f>
        <v/>
      </c>
      <c r="R23" s="1" t="str">
        <f>IFS(R20=$AD$4,Rules!$G$3,R20=$AD$5,Rules!$G$4,R20=$AD$6,Rules!$G$5,R20=$AD$7,Rules!$G$6,R20=$AD$8,Rules!$G$7,R20="",)</f>
        <v/>
      </c>
      <c r="S23" s="1">
        <f>IFS(S20=$AD$4,Rules!$G$3,S20=$AD$5,Rules!$G$4,S20=$AD$6,Rules!$G$5,S20=$AD$7,Rules!$G$6,S20=$AD$8,Rules!$G$7,S20="",)</f>
        <v>1</v>
      </c>
      <c r="T23" s="1" t="str">
        <f>IFS(T20=$AD$4,Rules!$G$3,T20=$AD$5,Rules!$G$4,T20=$AD$6,Rules!$G$5,T20=$AD$7,Rules!$G$6,T20=$AD$8,Rules!$G$7,T20="",)</f>
        <v/>
      </c>
      <c r="U23" s="1" t="str">
        <f>IFS(U20=$AD$4,Rules!$G$3,U20=$AD$5,Rules!$G$4,U20=$AD$6,Rules!$G$5,U20=$AD$7,Rules!$G$6,U20=$AD$8,Rules!$G$7,U20="",)</f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4">C22</f>
        <v/>
      </c>
      <c r="D24" s="1">
        <f t="shared" ref="D24:U24" si="13">D22+C24</f>
        <v>0</v>
      </c>
      <c r="E24" s="1">
        <f t="shared" si="13"/>
        <v>2</v>
      </c>
      <c r="F24" s="1">
        <f t="shared" si="13"/>
        <v>2</v>
      </c>
      <c r="G24" s="1">
        <f t="shared" si="13"/>
        <v>2</v>
      </c>
      <c r="H24" s="1">
        <f t="shared" si="13"/>
        <v>3</v>
      </c>
      <c r="I24" s="1">
        <f t="shared" si="13"/>
        <v>4</v>
      </c>
      <c r="J24" s="1">
        <f t="shared" si="13"/>
        <v>4</v>
      </c>
      <c r="K24" s="1">
        <f t="shared" si="13"/>
        <v>4</v>
      </c>
      <c r="L24" s="1">
        <f t="shared" si="13"/>
        <v>4</v>
      </c>
      <c r="M24" s="1">
        <f t="shared" si="13"/>
        <v>4</v>
      </c>
      <c r="N24" s="1">
        <f t="shared" si="13"/>
        <v>4</v>
      </c>
      <c r="O24" s="1">
        <f t="shared" si="13"/>
        <v>4</v>
      </c>
      <c r="P24" s="1">
        <f t="shared" si="13"/>
        <v>4</v>
      </c>
      <c r="Q24" s="1">
        <f t="shared" si="13"/>
        <v>5</v>
      </c>
      <c r="R24" s="1">
        <f t="shared" si="13"/>
        <v>6</v>
      </c>
      <c r="S24" s="1">
        <f t="shared" si="13"/>
        <v>6</v>
      </c>
      <c r="T24" s="1">
        <f t="shared" si="13"/>
        <v>7</v>
      </c>
      <c r="U24" s="1">
        <f t="shared" si="13"/>
        <v>8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>
        <f t="shared" si="14"/>
        <v>1</v>
      </c>
      <c r="D25" s="1">
        <f t="shared" ref="D25:U25" si="15">D23+C25</f>
        <v>1</v>
      </c>
      <c r="E25" s="1">
        <f t="shared" si="15"/>
        <v>1</v>
      </c>
      <c r="F25" s="1">
        <f t="shared" si="15"/>
        <v>3</v>
      </c>
      <c r="G25" s="1">
        <f t="shared" si="15"/>
        <v>3</v>
      </c>
      <c r="H25" s="1">
        <f t="shared" si="15"/>
        <v>3</v>
      </c>
      <c r="I25" s="1">
        <f t="shared" si="15"/>
        <v>3</v>
      </c>
      <c r="J25" s="1">
        <f t="shared" si="15"/>
        <v>3</v>
      </c>
      <c r="K25" s="1">
        <f t="shared" si="15"/>
        <v>3</v>
      </c>
      <c r="L25" s="1">
        <f t="shared" si="15"/>
        <v>3</v>
      </c>
      <c r="M25" s="1">
        <f t="shared" si="15"/>
        <v>4</v>
      </c>
      <c r="N25" s="1">
        <f t="shared" si="15"/>
        <v>6</v>
      </c>
      <c r="O25" s="1">
        <f t="shared" si="15"/>
        <v>7</v>
      </c>
      <c r="P25" s="1">
        <f t="shared" si="15"/>
        <v>8</v>
      </c>
      <c r="Q25" s="1">
        <f t="shared" si="15"/>
        <v>8</v>
      </c>
      <c r="R25" s="1">
        <f t="shared" si="15"/>
        <v>8</v>
      </c>
      <c r="S25" s="1">
        <f t="shared" si="15"/>
        <v>9</v>
      </c>
      <c r="T25" s="1">
        <f t="shared" si="15"/>
        <v>9</v>
      </c>
      <c r="U25" s="1">
        <f t="shared" si="15"/>
        <v>9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49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46053.0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">
        <v>10</v>
      </c>
      <c r="AD3" s="25">
        <v>3.0</v>
      </c>
      <c r="AE3" s="93" t="s">
        <v>11</v>
      </c>
    </row>
    <row r="4">
      <c r="A4" s="8"/>
      <c r="B4" s="89" t="s">
        <v>18</v>
      </c>
      <c r="C4" s="37">
        <v>4.0</v>
      </c>
      <c r="D4" s="37">
        <v>5.0</v>
      </c>
      <c r="E4" s="37">
        <v>3.0</v>
      </c>
      <c r="F4" s="37">
        <v>4.0</v>
      </c>
      <c r="G4" s="37">
        <v>4.0</v>
      </c>
      <c r="H4" s="37">
        <v>4.0</v>
      </c>
      <c r="I4" s="37">
        <v>3.0</v>
      </c>
      <c r="J4" s="37">
        <v>4.0</v>
      </c>
      <c r="K4" s="37">
        <v>5.0</v>
      </c>
      <c r="L4" s="94">
        <f t="shared" ref="L4:L5" si="1">SUM(C4:K4)</f>
        <v>36</v>
      </c>
      <c r="M4" s="37">
        <v>4.0</v>
      </c>
      <c r="N4" s="37">
        <v>4.0</v>
      </c>
      <c r="O4" s="37">
        <v>3.0</v>
      </c>
      <c r="P4" s="37">
        <v>5.0</v>
      </c>
      <c r="Q4" s="37">
        <v>4.0</v>
      </c>
      <c r="R4" s="37">
        <v>3.0</v>
      </c>
      <c r="S4" s="37">
        <v>4.0</v>
      </c>
      <c r="T4" s="37">
        <v>5.0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">
        <v>10</v>
      </c>
      <c r="C5" s="97">
        <v>5.0</v>
      </c>
      <c r="D5" s="124">
        <v>7.0</v>
      </c>
      <c r="E5" s="124">
        <v>5.0</v>
      </c>
      <c r="F5" s="124">
        <v>4.0</v>
      </c>
      <c r="G5" s="124">
        <v>5.0</v>
      </c>
      <c r="H5" s="124">
        <v>4.0</v>
      </c>
      <c r="I5" s="124">
        <v>3.0</v>
      </c>
      <c r="J5" s="124">
        <v>4.0</v>
      </c>
      <c r="K5" s="124">
        <v>5.0</v>
      </c>
      <c r="L5" s="98">
        <f t="shared" si="1"/>
        <v>42</v>
      </c>
      <c r="M5" s="124">
        <v>4.0</v>
      </c>
      <c r="N5" s="124">
        <v>5.0</v>
      </c>
      <c r="O5" s="124">
        <v>3.0</v>
      </c>
      <c r="P5" s="124">
        <v>5.0</v>
      </c>
      <c r="Q5" s="124">
        <v>5.0</v>
      </c>
      <c r="R5" s="124">
        <v>5.0</v>
      </c>
      <c r="S5" s="124">
        <v>4.0</v>
      </c>
      <c r="T5" s="124">
        <v>6.0</v>
      </c>
      <c r="U5" s="124">
        <v>5.0</v>
      </c>
      <c r="V5" s="98">
        <f t="shared" si="2"/>
        <v>42</v>
      </c>
      <c r="W5" s="99">
        <f t="shared" si="3"/>
        <v>84</v>
      </c>
      <c r="X5" s="100" t="str">
        <f>IFS(W5&gt;$W$4,"+",$W$4&gt;W5,"")</f>
        <v>+</v>
      </c>
      <c r="Y5" s="100">
        <f>W5-$W$4</f>
        <v>12</v>
      </c>
      <c r="Z5" s="101" t="str">
        <f>X5&amp;Y5</f>
        <v>+12</v>
      </c>
      <c r="AA5" s="1"/>
      <c r="AB5" s="16" t="s">
        <v>41</v>
      </c>
      <c r="AC5" s="44">
        <f>COUNTIF($C$6:$U$6,"🐥")</f>
        <v>0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🧻</v>
      </c>
      <c r="D6" s="103" t="str">
        <f t="shared" si="4"/>
        <v>💩</v>
      </c>
      <c r="E6" s="103" t="str">
        <f t="shared" si="4"/>
        <v>💩</v>
      </c>
      <c r="F6" s="103" t="str">
        <f t="shared" si="4"/>
        <v>🚩</v>
      </c>
      <c r="G6" s="103" t="str">
        <f t="shared" si="4"/>
        <v>🧻</v>
      </c>
      <c r="H6" s="103" t="str">
        <f t="shared" si="4"/>
        <v>🚩</v>
      </c>
      <c r="I6" s="103" t="str">
        <f t="shared" si="4"/>
        <v>🚩</v>
      </c>
      <c r="J6" s="103" t="str">
        <f t="shared" si="4"/>
        <v>🚩</v>
      </c>
      <c r="K6" s="103" t="str">
        <f t="shared" si="4"/>
        <v>🚩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🧻</v>
      </c>
      <c r="O6" s="103" t="str">
        <f t="shared" si="5"/>
        <v>🚩</v>
      </c>
      <c r="P6" s="103" t="str">
        <f t="shared" si="5"/>
        <v>🚩</v>
      </c>
      <c r="Q6" s="103" t="str">
        <f t="shared" si="5"/>
        <v>🧻</v>
      </c>
      <c r="R6" s="103" t="str">
        <f t="shared" si="5"/>
        <v>💩</v>
      </c>
      <c r="S6" s="103" t="str">
        <f t="shared" si="5"/>
        <v>🚩</v>
      </c>
      <c r="T6" s="103" t="str">
        <f t="shared" si="5"/>
        <v>🧻</v>
      </c>
      <c r="U6" s="103" t="str">
        <f t="shared" si="5"/>
        <v>🧻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9</v>
      </c>
      <c r="AD6" s="17" t="s">
        <v>19</v>
      </c>
      <c r="AE6" s="68">
        <f>COUNTIF($C$8:$U$8,"🚩")</f>
        <v>7</v>
      </c>
    </row>
    <row r="7">
      <c r="A7" s="8"/>
      <c r="B7" s="107" t="s">
        <v>11</v>
      </c>
      <c r="C7" s="97">
        <v>6.0</v>
      </c>
      <c r="D7" s="124">
        <v>5.0</v>
      </c>
      <c r="E7" s="124">
        <v>5.0</v>
      </c>
      <c r="F7" s="124">
        <v>4.0</v>
      </c>
      <c r="G7" s="124">
        <v>4.0</v>
      </c>
      <c r="H7" s="124">
        <v>4.0</v>
      </c>
      <c r="I7" s="124">
        <v>3.0</v>
      </c>
      <c r="J7" s="124">
        <v>4.0</v>
      </c>
      <c r="K7" s="124">
        <v>6.0</v>
      </c>
      <c r="L7" s="98">
        <f>SUM(C7:K7)</f>
        <v>41</v>
      </c>
      <c r="M7" s="124">
        <v>4.0</v>
      </c>
      <c r="N7" s="124">
        <v>6.0</v>
      </c>
      <c r="O7" s="124">
        <v>4.0</v>
      </c>
      <c r="P7" s="124">
        <v>8.0</v>
      </c>
      <c r="Q7" s="124">
        <v>6.0</v>
      </c>
      <c r="R7" s="124">
        <v>4.0</v>
      </c>
      <c r="S7" s="124">
        <v>5.0</v>
      </c>
      <c r="T7" s="124">
        <v>7.0</v>
      </c>
      <c r="U7" s="124">
        <v>6.0</v>
      </c>
      <c r="V7" s="98">
        <f>SUM(M7:U7)</f>
        <v>50</v>
      </c>
      <c r="W7" s="99">
        <f>SUM(L7+V7)</f>
        <v>91</v>
      </c>
      <c r="X7" s="100" t="str">
        <f>IFS(W7&gt;$W$4,"+",$W$4&gt;W7,"")</f>
        <v>+</v>
      </c>
      <c r="Y7" s="100">
        <f>W7-$W$4</f>
        <v>19</v>
      </c>
      <c r="Z7" s="101" t="str">
        <f>X7&amp;Y7</f>
        <v>+19</v>
      </c>
      <c r="AB7" s="16" t="s">
        <v>43</v>
      </c>
      <c r="AC7" s="44">
        <f>COUNTIF($C$6:$U$6,"🧻")</f>
        <v>6</v>
      </c>
      <c r="AD7" s="17" t="s">
        <v>23</v>
      </c>
      <c r="AE7" s="68">
        <f>COUNTIF($C$8:$U$8,"🧻")</f>
        <v>4</v>
      </c>
    </row>
    <row r="8">
      <c r="A8" s="8"/>
      <c r="B8" s="108"/>
      <c r="C8" s="80" t="str">
        <f t="shared" ref="C8:K8" si="6">IFS(C$4-C7=1,$AD$5,C$4-C7=2,$AD$4,C$4=C7,$AD$6,C$4-C7=-1,$AD$7,C$4-C7=-2,$AD$8,C$4-C7=-3,$AD$9)</f>
        <v>💩</v>
      </c>
      <c r="D8" s="80" t="str">
        <f t="shared" si="6"/>
        <v>🚩</v>
      </c>
      <c r="E8" s="80" t="str">
        <f t="shared" si="6"/>
        <v>💩</v>
      </c>
      <c r="F8" s="80" t="str">
        <f t="shared" si="6"/>
        <v>🚩</v>
      </c>
      <c r="G8" s="80" t="str">
        <f t="shared" si="6"/>
        <v>🚩</v>
      </c>
      <c r="H8" s="80" t="str">
        <f t="shared" si="6"/>
        <v>🚩</v>
      </c>
      <c r="I8" s="80" t="str">
        <f t="shared" si="6"/>
        <v>🚩</v>
      </c>
      <c r="J8" s="80" t="str">
        <f t="shared" si="6"/>
        <v>🚩</v>
      </c>
      <c r="K8" s="80" t="str">
        <f t="shared" si="6"/>
        <v>🧻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💩</v>
      </c>
      <c r="O8" s="80" t="str">
        <f t="shared" si="7"/>
        <v>🧻</v>
      </c>
      <c r="P8" s="80" t="str">
        <f t="shared" si="7"/>
        <v>☠️</v>
      </c>
      <c r="Q8" s="80" t="str">
        <f t="shared" si="7"/>
        <v>💩</v>
      </c>
      <c r="R8" s="80" t="str">
        <f t="shared" si="7"/>
        <v>🧻</v>
      </c>
      <c r="S8" s="80" t="str">
        <f t="shared" si="7"/>
        <v>🧻</v>
      </c>
      <c r="T8" s="80" t="str">
        <f t="shared" si="7"/>
        <v>💩</v>
      </c>
      <c r="U8" s="80" t="str">
        <f t="shared" si="7"/>
        <v>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3</v>
      </c>
      <c r="AD8" s="17" t="s">
        <v>27</v>
      </c>
      <c r="AE8" s="68">
        <f>COUNTIF($C$8:$U$8,"💩")</f>
        <v>6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1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9</v>
      </c>
      <c r="AD10" s="113"/>
      <c r="AE10" s="114">
        <f>Count(C23:U23)</f>
        <v>3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9</v>
      </c>
      <c r="AD11" s="80"/>
      <c r="AE11" s="112">
        <f>U25</f>
        <v>3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IFS(AC11&gt;AE11,AC3,AE11&gt;AC11,AE3)</f>
        <v>Trent</v>
      </c>
      <c r="AD12" s="116">
        <f>IFS(AC11&gt;AE11,AC11-AE11,AE11&gt;AC11,AE11-AC11)</f>
        <v>6</v>
      </c>
      <c r="AE12" s="120">
        <f>AD12*AD3</f>
        <v>18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 t="str">
        <f t="shared" si="8"/>
        <v>AS</v>
      </c>
      <c r="E18" s="1" t="str">
        <f t="shared" si="8"/>
        <v>AS</v>
      </c>
      <c r="F18" s="1" t="str">
        <f t="shared" si="8"/>
        <v>AS</v>
      </c>
      <c r="G18" s="1">
        <f t="shared" si="8"/>
        <v>1</v>
      </c>
      <c r="H18" s="1">
        <f t="shared" si="8"/>
        <v>1</v>
      </c>
      <c r="I18" s="1">
        <f t="shared" si="8"/>
        <v>1</v>
      </c>
      <c r="J18" s="1">
        <f t="shared" si="8"/>
        <v>1</v>
      </c>
      <c r="K18" s="1" t="str">
        <f t="shared" si="8"/>
        <v>AS</v>
      </c>
      <c r="L18" s="1" t="str">
        <f t="shared" si="8"/>
        <v>AS</v>
      </c>
      <c r="M18" s="1" t="str">
        <f t="shared" si="8"/>
        <v>AS</v>
      </c>
      <c r="N18" s="1">
        <f t="shared" si="8"/>
        <v>1</v>
      </c>
      <c r="O18" s="1">
        <f t="shared" si="8"/>
        <v>2</v>
      </c>
      <c r="P18" s="1">
        <f t="shared" si="8"/>
        <v>3</v>
      </c>
      <c r="Q18" s="1">
        <f t="shared" si="8"/>
        <v>4</v>
      </c>
      <c r="R18" s="1">
        <f t="shared" si="8"/>
        <v>3</v>
      </c>
      <c r="S18" s="1">
        <f t="shared" si="8"/>
        <v>4</v>
      </c>
      <c r="T18" s="1">
        <f t="shared" si="8"/>
        <v>5</v>
      </c>
      <c r="U18" s="1">
        <f t="shared" si="8"/>
        <v>6</v>
      </c>
      <c r="V18" s="1"/>
      <c r="W18" s="1"/>
    </row>
    <row r="19" hidden="1">
      <c r="A19" s="8"/>
      <c r="B19" s="117" t="s">
        <v>10</v>
      </c>
      <c r="C19" s="1" t="str">
        <f>IF(C$5&lt;C$7,C6,)</f>
        <v>🧻</v>
      </c>
      <c r="D19" s="1" t="str">
        <f t="shared" ref="D19:K19" si="9">IF(D5&lt;D7,D6,)</f>
        <v/>
      </c>
      <c r="E19" s="1" t="str">
        <f t="shared" si="9"/>
        <v/>
      </c>
      <c r="F19" s="1" t="str">
        <f t="shared" si="9"/>
        <v/>
      </c>
      <c r="G19" s="1" t="str">
        <f t="shared" si="9"/>
        <v/>
      </c>
      <c r="H19" s="1" t="str">
        <f t="shared" si="9"/>
        <v/>
      </c>
      <c r="I19" s="1" t="str">
        <f t="shared" si="9"/>
        <v/>
      </c>
      <c r="J19" s="1" t="str">
        <f t="shared" si="9"/>
        <v/>
      </c>
      <c r="K19" s="1" t="str">
        <f t="shared" si="9"/>
        <v>🚩</v>
      </c>
      <c r="L19" s="1"/>
      <c r="M19" s="1" t="str">
        <f t="shared" ref="M19:U19" si="10">IF(M5&lt;M7,M6,)</f>
        <v/>
      </c>
      <c r="N19" s="1" t="str">
        <f t="shared" si="10"/>
        <v>🧻</v>
      </c>
      <c r="O19" s="1" t="str">
        <f t="shared" si="10"/>
        <v>🚩</v>
      </c>
      <c r="P19" s="1" t="str">
        <f t="shared" si="10"/>
        <v>🚩</v>
      </c>
      <c r="Q19" s="1" t="str">
        <f t="shared" si="10"/>
        <v>🧻</v>
      </c>
      <c r="R19" s="1" t="str">
        <f t="shared" si="10"/>
        <v/>
      </c>
      <c r="S19" s="1" t="str">
        <f t="shared" si="10"/>
        <v>🚩</v>
      </c>
      <c r="T19" s="1" t="str">
        <f t="shared" si="10"/>
        <v>🧻</v>
      </c>
      <c r="U19" s="1" t="str">
        <f t="shared" si="10"/>
        <v>🧻</v>
      </c>
      <c r="V19" s="1"/>
      <c r="W19" s="1"/>
    </row>
    <row r="20" hidden="1">
      <c r="A20" s="8"/>
      <c r="B20" s="118" t="s">
        <v>11</v>
      </c>
      <c r="C20" s="1" t="str">
        <f t="shared" ref="C20:K20" si="11">IF(C$5&gt;C$7,C8,)</f>
        <v/>
      </c>
      <c r="D20" s="1" t="str">
        <f t="shared" si="11"/>
        <v>🚩</v>
      </c>
      <c r="E20" s="1" t="str">
        <f t="shared" si="11"/>
        <v/>
      </c>
      <c r="F20" s="1" t="str">
        <f t="shared" si="11"/>
        <v/>
      </c>
      <c r="G20" s="1" t="str">
        <f t="shared" si="11"/>
        <v>🚩</v>
      </c>
      <c r="H20" s="1" t="str">
        <f t="shared" si="11"/>
        <v/>
      </c>
      <c r="I20" s="1" t="str">
        <f t="shared" si="11"/>
        <v/>
      </c>
      <c r="J20" s="1" t="str">
        <f t="shared" si="11"/>
        <v/>
      </c>
      <c r="K20" s="1" t="str">
        <f t="shared" si="11"/>
        <v/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>🧻</v>
      </c>
      <c r="S20" s="1" t="str">
        <f t="shared" si="12"/>
        <v/>
      </c>
      <c r="T20" s="1" t="str">
        <f t="shared" si="12"/>
        <v/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">
        <v>10</v>
      </c>
      <c r="C22" s="1">
        <f t="shared" ref="C22:K22" si="13">IFS(C19=$AD$4,4,C19=$AD$5,2,C19=$AD$6,1,C19=$AD$7,1,C19=$AD$8,0.5,C19="",)</f>
        <v>1</v>
      </c>
      <c r="D22" s="1" t="str">
        <f t="shared" si="13"/>
        <v/>
      </c>
      <c r="E22" s="1" t="str">
        <f t="shared" si="13"/>
        <v/>
      </c>
      <c r="F22" s="1" t="str">
        <f t="shared" si="13"/>
        <v/>
      </c>
      <c r="G22" s="1" t="str">
        <f t="shared" si="13"/>
        <v/>
      </c>
      <c r="H22" s="1" t="str">
        <f t="shared" si="13"/>
        <v/>
      </c>
      <c r="I22" s="1" t="str">
        <f t="shared" si="13"/>
        <v/>
      </c>
      <c r="J22" s="1" t="str">
        <f t="shared" si="13"/>
        <v/>
      </c>
      <c r="K22" s="1">
        <f t="shared" si="13"/>
        <v>1</v>
      </c>
      <c r="L22" s="1"/>
      <c r="M22" s="1" t="str">
        <f t="shared" ref="M22:U22" si="14">IFS(M19=$AD$4,4,M19=$AD$5,2,M19=$AD$6,1,M19=$AD$7,1,M19=$AD$8,0.5,M19="",)</f>
        <v/>
      </c>
      <c r="N22" s="1">
        <f t="shared" si="14"/>
        <v>1</v>
      </c>
      <c r="O22" s="1">
        <f t="shared" si="14"/>
        <v>1</v>
      </c>
      <c r="P22" s="1">
        <f t="shared" si="14"/>
        <v>1</v>
      </c>
      <c r="Q22" s="1">
        <f t="shared" si="14"/>
        <v>1</v>
      </c>
      <c r="R22" s="1" t="str">
        <f t="shared" si="14"/>
        <v/>
      </c>
      <c r="S22" s="1">
        <f t="shared" si="14"/>
        <v>1</v>
      </c>
      <c r="T22" s="1">
        <f t="shared" si="14"/>
        <v>1</v>
      </c>
      <c r="U22" s="1">
        <f t="shared" si="14"/>
        <v>1</v>
      </c>
      <c r="V22" s="1"/>
      <c r="W22" s="1"/>
      <c r="AC22" s="1"/>
      <c r="AD22" s="1"/>
      <c r="AE22" s="1"/>
    </row>
    <row r="23" hidden="1">
      <c r="A23" s="8"/>
      <c r="B23" s="118" t="s">
        <v>11</v>
      </c>
      <c r="C23" s="1" t="str">
        <f t="shared" ref="C23:K23" si="15">IFS(C20=$AD$4,4,C20=$AD$5,2,C20=$AD$6,1,C20=$AD$7,1,C20=$AD$8,0.5,C20="",)</f>
        <v/>
      </c>
      <c r="D23" s="1">
        <f t="shared" si="15"/>
        <v>1</v>
      </c>
      <c r="E23" s="1" t="str">
        <f t="shared" si="15"/>
        <v/>
      </c>
      <c r="F23" s="1" t="str">
        <f t="shared" si="15"/>
        <v/>
      </c>
      <c r="G23" s="1">
        <f t="shared" si="15"/>
        <v>1</v>
      </c>
      <c r="H23" s="1" t="str">
        <f t="shared" si="15"/>
        <v/>
      </c>
      <c r="I23" s="1" t="str">
        <f t="shared" si="15"/>
        <v/>
      </c>
      <c r="J23" s="1" t="str">
        <f t="shared" si="15"/>
        <v/>
      </c>
      <c r="K23" s="1" t="str">
        <f t="shared" si="15"/>
        <v/>
      </c>
      <c r="L23" s="1"/>
      <c r="M23" s="1" t="str">
        <f t="shared" ref="M23:U23" si="16">IFS(M20=$AD$4,4,M20=$AD$5,2,M20=$AD$6,1,M20=$AD$7,1,M20=$AD$8,0.5,M20="",)</f>
        <v/>
      </c>
      <c r="N23" s="1" t="str">
        <f t="shared" si="16"/>
        <v/>
      </c>
      <c r="O23" s="1" t="str">
        <f t="shared" si="16"/>
        <v/>
      </c>
      <c r="P23" s="1" t="str">
        <f t="shared" si="16"/>
        <v/>
      </c>
      <c r="Q23" s="1" t="str">
        <f t="shared" si="16"/>
        <v/>
      </c>
      <c r="R23" s="1">
        <f t="shared" si="16"/>
        <v>1</v>
      </c>
      <c r="S23" s="1" t="str">
        <f t="shared" si="16"/>
        <v/>
      </c>
      <c r="T23" s="1" t="str">
        <f t="shared" si="16"/>
        <v/>
      </c>
      <c r="U23" s="1" t="str">
        <f t="shared" si="16"/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>
        <f t="shared" ref="C24:C25" si="18">C22</f>
        <v>1</v>
      </c>
      <c r="D24" s="1">
        <f t="shared" ref="D24:U24" si="17">D22+C24</f>
        <v>1</v>
      </c>
      <c r="E24" s="1">
        <f t="shared" si="17"/>
        <v>1</v>
      </c>
      <c r="F24" s="1">
        <f t="shared" si="17"/>
        <v>1</v>
      </c>
      <c r="G24" s="1">
        <f t="shared" si="17"/>
        <v>1</v>
      </c>
      <c r="H24" s="1">
        <f t="shared" si="17"/>
        <v>1</v>
      </c>
      <c r="I24" s="1">
        <f t="shared" si="17"/>
        <v>1</v>
      </c>
      <c r="J24" s="1">
        <f t="shared" si="17"/>
        <v>1</v>
      </c>
      <c r="K24" s="1">
        <f t="shared" si="17"/>
        <v>2</v>
      </c>
      <c r="L24" s="1">
        <f t="shared" si="17"/>
        <v>2</v>
      </c>
      <c r="M24" s="1">
        <f t="shared" si="17"/>
        <v>2</v>
      </c>
      <c r="N24" s="1">
        <f t="shared" si="17"/>
        <v>3</v>
      </c>
      <c r="O24" s="1">
        <f t="shared" si="17"/>
        <v>4</v>
      </c>
      <c r="P24" s="1">
        <f t="shared" si="17"/>
        <v>5</v>
      </c>
      <c r="Q24" s="1">
        <f t="shared" si="17"/>
        <v>6</v>
      </c>
      <c r="R24" s="1">
        <f t="shared" si="17"/>
        <v>6</v>
      </c>
      <c r="S24" s="1">
        <f t="shared" si="17"/>
        <v>7</v>
      </c>
      <c r="T24" s="1">
        <f t="shared" si="17"/>
        <v>8</v>
      </c>
      <c r="U24" s="1">
        <f t="shared" si="17"/>
        <v>9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 t="str">
        <f t="shared" si="18"/>
        <v/>
      </c>
      <c r="D25" s="1">
        <f t="shared" ref="D25:U25" si="19">D23+C25</f>
        <v>1</v>
      </c>
      <c r="E25" s="1">
        <f t="shared" si="19"/>
        <v>1</v>
      </c>
      <c r="F25" s="1">
        <f t="shared" si="19"/>
        <v>1</v>
      </c>
      <c r="G25" s="1">
        <f t="shared" si="19"/>
        <v>2</v>
      </c>
      <c r="H25" s="1">
        <f t="shared" si="19"/>
        <v>2</v>
      </c>
      <c r="I25" s="1">
        <f t="shared" si="19"/>
        <v>2</v>
      </c>
      <c r="J25" s="1">
        <f t="shared" si="19"/>
        <v>2</v>
      </c>
      <c r="K25" s="1">
        <f t="shared" si="19"/>
        <v>2</v>
      </c>
      <c r="L25" s="1">
        <f t="shared" si="19"/>
        <v>2</v>
      </c>
      <c r="M25" s="1">
        <f t="shared" si="19"/>
        <v>2</v>
      </c>
      <c r="N25" s="1">
        <f t="shared" si="19"/>
        <v>2</v>
      </c>
      <c r="O25" s="1">
        <f t="shared" si="19"/>
        <v>2</v>
      </c>
      <c r="P25" s="1">
        <f t="shared" si="19"/>
        <v>2</v>
      </c>
      <c r="Q25" s="1">
        <f t="shared" si="19"/>
        <v>2</v>
      </c>
      <c r="R25" s="1">
        <f t="shared" si="19"/>
        <v>3</v>
      </c>
      <c r="S25" s="1">
        <f t="shared" si="19"/>
        <v>3</v>
      </c>
      <c r="T25" s="1">
        <f t="shared" si="19"/>
        <v>3</v>
      </c>
      <c r="U25" s="1">
        <f t="shared" si="19"/>
        <v>3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48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46041.0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">
        <v>10</v>
      </c>
      <c r="AD3" s="25">
        <v>2.0</v>
      </c>
      <c r="AE3" s="93" t="s">
        <v>11</v>
      </c>
    </row>
    <row r="4">
      <c r="A4" s="8"/>
      <c r="B4" s="89" t="s">
        <v>18</v>
      </c>
      <c r="C4" s="37">
        <v>4.0</v>
      </c>
      <c r="D4" s="37">
        <v>4.0</v>
      </c>
      <c r="E4" s="37">
        <v>5.0</v>
      </c>
      <c r="F4" s="37">
        <v>3.0</v>
      </c>
      <c r="G4" s="37">
        <v>4.0</v>
      </c>
      <c r="H4" s="37">
        <v>3.0</v>
      </c>
      <c r="I4" s="37">
        <v>4.0</v>
      </c>
      <c r="J4" s="37">
        <v>4.0</v>
      </c>
      <c r="K4" s="37">
        <v>5.0</v>
      </c>
      <c r="L4" s="94">
        <f t="shared" ref="L4:L5" si="1">SUM(C4:K4)</f>
        <v>36</v>
      </c>
      <c r="M4" s="37">
        <v>5.0</v>
      </c>
      <c r="N4" s="37">
        <v>4.0</v>
      </c>
      <c r="O4" s="37">
        <v>3.0</v>
      </c>
      <c r="P4" s="37">
        <v>4.0</v>
      </c>
      <c r="Q4" s="37">
        <v>4.0</v>
      </c>
      <c r="R4" s="37">
        <v>5.0</v>
      </c>
      <c r="S4" s="37">
        <v>4.0</v>
      </c>
      <c r="T4" s="37">
        <v>3.0</v>
      </c>
      <c r="U4" s="37">
        <v>4.0</v>
      </c>
      <c r="V4" s="94">
        <f t="shared" ref="V4:V5" si="2">SUM(M4:U4)</f>
        <v>36</v>
      </c>
      <c r="W4" s="95">
        <f t="shared" ref="W4:W5" si="3">SUM(L4+V4)</f>
        <v>72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">
        <v>10</v>
      </c>
      <c r="C5" s="97">
        <v>6.0</v>
      </c>
      <c r="D5" s="124">
        <v>7.0</v>
      </c>
      <c r="E5" s="97">
        <v>7.0</v>
      </c>
      <c r="F5" s="97">
        <v>3.0</v>
      </c>
      <c r="G5" s="97">
        <v>3.0</v>
      </c>
      <c r="H5" s="97">
        <v>5.0</v>
      </c>
      <c r="I5" s="97">
        <v>5.0</v>
      </c>
      <c r="J5" s="97">
        <v>6.0</v>
      </c>
      <c r="K5" s="97">
        <v>8.0</v>
      </c>
      <c r="L5" s="98">
        <f t="shared" si="1"/>
        <v>50</v>
      </c>
      <c r="M5" s="97">
        <v>5.0</v>
      </c>
      <c r="N5" s="97">
        <v>5.0</v>
      </c>
      <c r="O5" s="97">
        <v>4.0</v>
      </c>
      <c r="P5" s="124">
        <v>5.0</v>
      </c>
      <c r="Q5" s="124">
        <v>5.0</v>
      </c>
      <c r="R5" s="97">
        <v>4.0</v>
      </c>
      <c r="S5" s="97">
        <v>5.0</v>
      </c>
      <c r="T5" s="97">
        <v>3.0</v>
      </c>
      <c r="U5" s="97">
        <v>5.0</v>
      </c>
      <c r="V5" s="98">
        <f t="shared" si="2"/>
        <v>41</v>
      </c>
      <c r="W5" s="99">
        <f t="shared" si="3"/>
        <v>91</v>
      </c>
      <c r="X5" s="100" t="str">
        <f>IFS(W5&gt;$W$4,"+",$W$4&gt;W5,"")</f>
        <v>+</v>
      </c>
      <c r="Y5" s="100">
        <f>W5-$W$4</f>
        <v>19</v>
      </c>
      <c r="Z5" s="101" t="str">
        <f>X5&amp;Y5</f>
        <v>+19</v>
      </c>
      <c r="AA5" s="1"/>
      <c r="AB5" s="16" t="s">
        <v>41</v>
      </c>
      <c r="AC5" s="44">
        <f>COUNTIF($C$6:$U$6,"🐥")</f>
        <v>2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💩</v>
      </c>
      <c r="D6" s="103" t="str">
        <f t="shared" si="4"/>
        <v>☠️</v>
      </c>
      <c r="E6" s="103" t="str">
        <f t="shared" si="4"/>
        <v>💩</v>
      </c>
      <c r="F6" s="103" t="str">
        <f t="shared" si="4"/>
        <v>🚩</v>
      </c>
      <c r="G6" s="103" t="str">
        <f t="shared" si="4"/>
        <v>🐥</v>
      </c>
      <c r="H6" s="103" t="str">
        <f t="shared" si="4"/>
        <v>💩</v>
      </c>
      <c r="I6" s="103" t="str">
        <f t="shared" si="4"/>
        <v>🧻</v>
      </c>
      <c r="J6" s="103" t="str">
        <f t="shared" si="4"/>
        <v>💩</v>
      </c>
      <c r="K6" s="103" t="str">
        <f t="shared" si="4"/>
        <v>☠️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🧻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🧻</v>
      </c>
      <c r="R6" s="103" t="str">
        <f t="shared" si="5"/>
        <v>🐥</v>
      </c>
      <c r="S6" s="103" t="str">
        <f t="shared" si="5"/>
        <v>🧻</v>
      </c>
      <c r="T6" s="103" t="str">
        <f t="shared" si="5"/>
        <v>🚩</v>
      </c>
      <c r="U6" s="103" t="str">
        <f t="shared" si="5"/>
        <v>🧻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3</v>
      </c>
      <c r="AD6" s="17" t="s">
        <v>19</v>
      </c>
      <c r="AE6" s="68">
        <f>COUNTIF($C$8:$U$8,"🚩")</f>
        <v>4</v>
      </c>
    </row>
    <row r="7">
      <c r="A7" s="8"/>
      <c r="B7" s="107" t="s">
        <v>11</v>
      </c>
      <c r="C7" s="97">
        <v>5.0</v>
      </c>
      <c r="D7" s="124">
        <v>5.0</v>
      </c>
      <c r="E7" s="97">
        <v>8.0</v>
      </c>
      <c r="F7" s="97">
        <v>3.0</v>
      </c>
      <c r="G7" s="97">
        <v>6.0</v>
      </c>
      <c r="H7" s="97">
        <v>3.0</v>
      </c>
      <c r="I7" s="97">
        <v>6.0</v>
      </c>
      <c r="J7" s="97">
        <v>5.0</v>
      </c>
      <c r="K7" s="97">
        <v>7.0</v>
      </c>
      <c r="L7" s="98">
        <f>SUM(C7:K7)</f>
        <v>48</v>
      </c>
      <c r="M7" s="97">
        <v>5.0</v>
      </c>
      <c r="N7" s="97">
        <v>5.0</v>
      </c>
      <c r="O7" s="124">
        <v>4.0</v>
      </c>
      <c r="P7" s="97">
        <v>4.0</v>
      </c>
      <c r="Q7" s="97">
        <v>5.0</v>
      </c>
      <c r="R7" s="97">
        <v>6.0</v>
      </c>
      <c r="S7" s="97">
        <v>6.0</v>
      </c>
      <c r="T7" s="97">
        <v>4.0</v>
      </c>
      <c r="U7" s="124">
        <v>6.0</v>
      </c>
      <c r="V7" s="98">
        <f>SUM(M7:U7)</f>
        <v>45</v>
      </c>
      <c r="W7" s="99">
        <f>SUM(L7+V7)</f>
        <v>93</v>
      </c>
      <c r="X7" s="100" t="str">
        <f>IFS(W7&gt;$W$4,"+",$W$4&gt;W7,"")</f>
        <v>+</v>
      </c>
      <c r="Y7" s="100">
        <f>W7-$W$4</f>
        <v>21</v>
      </c>
      <c r="Z7" s="101" t="str">
        <f>X7&amp;Y7</f>
        <v>+21</v>
      </c>
      <c r="AB7" s="16" t="s">
        <v>43</v>
      </c>
      <c r="AC7" s="44">
        <f>COUNTIF($C$6:$U$6,"🧻")</f>
        <v>7</v>
      </c>
      <c r="AD7" s="17" t="s">
        <v>23</v>
      </c>
      <c r="AE7" s="68">
        <f>COUNTIF($C$8:$U$8,"🧻")</f>
        <v>8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🧻</v>
      </c>
      <c r="E8" s="80" t="str">
        <f t="shared" si="6"/>
        <v>☠️</v>
      </c>
      <c r="F8" s="80" t="str">
        <f t="shared" si="6"/>
        <v>🚩</v>
      </c>
      <c r="G8" s="80" t="str">
        <f t="shared" si="6"/>
        <v>💩</v>
      </c>
      <c r="H8" s="80" t="str">
        <f t="shared" si="6"/>
        <v>🚩</v>
      </c>
      <c r="I8" s="80" t="str">
        <f t="shared" si="6"/>
        <v>💩</v>
      </c>
      <c r="J8" s="80" t="str">
        <f t="shared" si="6"/>
        <v>🧻</v>
      </c>
      <c r="K8" s="80" t="str">
        <f t="shared" si="6"/>
        <v>💩</v>
      </c>
      <c r="L8" s="109"/>
      <c r="M8" s="80" t="str">
        <f t="shared" ref="M8:U8" si="7">IFS(M$4-M7=1,$AD$5,M$4-M7=2,$AD$4,M$4=M7,$AD$6,M$4-M7=-1,$AD$7,M$4-M7=-2,$AD$8,M$4-M7=-3,$AD$9)</f>
        <v>🚩</v>
      </c>
      <c r="N8" s="80" t="str">
        <f t="shared" si="7"/>
        <v>🧻</v>
      </c>
      <c r="O8" s="80" t="str">
        <f t="shared" si="7"/>
        <v>🧻</v>
      </c>
      <c r="P8" s="80" t="str">
        <f t="shared" si="7"/>
        <v>🚩</v>
      </c>
      <c r="Q8" s="80" t="str">
        <f t="shared" si="7"/>
        <v>🧻</v>
      </c>
      <c r="R8" s="80" t="str">
        <f t="shared" si="7"/>
        <v>🧻</v>
      </c>
      <c r="S8" s="80" t="str">
        <f t="shared" si="7"/>
        <v>💩</v>
      </c>
      <c r="T8" s="80" t="str">
        <f t="shared" si="7"/>
        <v>🧻</v>
      </c>
      <c r="U8" s="80" t="str">
        <f t="shared" si="7"/>
        <v>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4</v>
      </c>
      <c r="AD8" s="17" t="s">
        <v>27</v>
      </c>
      <c r="AE8" s="68">
        <f>COUNTIF($C$8:$U$8,"💩")</f>
        <v>5</v>
      </c>
    </row>
    <row r="9">
      <c r="V9" s="1"/>
      <c r="W9" s="1"/>
      <c r="AB9" s="19" t="s">
        <v>45</v>
      </c>
      <c r="AC9" s="80">
        <f>COUNTIF($C$6:$U$6,"☠️")</f>
        <v>2</v>
      </c>
      <c r="AD9" s="20" t="s">
        <v>70</v>
      </c>
      <c r="AE9" s="112">
        <f>COUNTIF($C$8:$U$8,"☠️")</f>
        <v>1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7</v>
      </c>
      <c r="AD10" s="113"/>
      <c r="AE10" s="114">
        <f>Count(C23:U23)</f>
        <v>6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8.5</v>
      </c>
      <c r="AD11" s="80"/>
      <c r="AE11" s="112">
        <f>U25</f>
        <v>5.5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IFS(AC11&gt;AE11,AC3,AE11&gt;AC11,AE3)</f>
        <v>Trent</v>
      </c>
      <c r="AD12" s="116">
        <f>IFS(AC11&gt;AE11,AC11-AE11,AE11&gt;AC11,AE11-AC11)</f>
        <v>3</v>
      </c>
      <c r="AE12" s="120">
        <f>AD12*AD3</f>
        <v>6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>
        <f t="shared" si="8"/>
        <v>2</v>
      </c>
      <c r="E18" s="1">
        <f t="shared" si="8"/>
        <v>1.5</v>
      </c>
      <c r="F18" s="1">
        <f t="shared" si="8"/>
        <v>1.5</v>
      </c>
      <c r="G18" s="1">
        <f t="shared" si="8"/>
        <v>0.5</v>
      </c>
      <c r="H18" s="1">
        <f t="shared" si="8"/>
        <v>0.5</v>
      </c>
      <c r="I18" s="1">
        <f t="shared" si="8"/>
        <v>0.5</v>
      </c>
      <c r="J18" s="1">
        <f t="shared" si="8"/>
        <v>0.5</v>
      </c>
      <c r="K18" s="1">
        <f t="shared" si="8"/>
        <v>1</v>
      </c>
      <c r="L18" s="1">
        <f t="shared" si="8"/>
        <v>1</v>
      </c>
      <c r="M18" s="1">
        <f t="shared" si="8"/>
        <v>1</v>
      </c>
      <c r="N18" s="1">
        <f t="shared" si="8"/>
        <v>1</v>
      </c>
      <c r="O18" s="1">
        <f t="shared" si="8"/>
        <v>1</v>
      </c>
      <c r="P18" s="1">
        <f t="shared" si="8"/>
        <v>2</v>
      </c>
      <c r="Q18" s="1">
        <f t="shared" si="8"/>
        <v>2</v>
      </c>
      <c r="R18" s="1" t="str">
        <f t="shared" si="8"/>
        <v>AS</v>
      </c>
      <c r="S18" s="1">
        <f t="shared" si="8"/>
        <v>1</v>
      </c>
      <c r="T18" s="1">
        <f t="shared" si="8"/>
        <v>2</v>
      </c>
      <c r="U18" s="1">
        <f t="shared" si="8"/>
        <v>3</v>
      </c>
      <c r="V18" s="1"/>
      <c r="W18" s="1"/>
    </row>
    <row r="19" hidden="1">
      <c r="A19" s="8"/>
      <c r="B19" s="117" t="s">
        <v>10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>💩</v>
      </c>
      <c r="F19" s="1" t="str">
        <f t="shared" si="9"/>
        <v/>
      </c>
      <c r="G19" s="1" t="str">
        <f t="shared" si="9"/>
        <v>🐥</v>
      </c>
      <c r="H19" s="1" t="str">
        <f t="shared" si="9"/>
        <v/>
      </c>
      <c r="I19" s="1" t="str">
        <f t="shared" si="9"/>
        <v>🧻</v>
      </c>
      <c r="J19" s="1" t="str">
        <f t="shared" si="9"/>
        <v/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/>
      </c>
      <c r="O19" s="1" t="str">
        <f t="shared" si="10"/>
        <v/>
      </c>
      <c r="P19" s="1" t="str">
        <f t="shared" si="10"/>
        <v/>
      </c>
      <c r="Q19" s="1" t="str">
        <f t="shared" si="10"/>
        <v/>
      </c>
      <c r="R19" s="1" t="str">
        <f t="shared" si="10"/>
        <v>🐥</v>
      </c>
      <c r="S19" s="1" t="str">
        <f t="shared" si="10"/>
        <v>🧻</v>
      </c>
      <c r="T19" s="1" t="str">
        <f t="shared" si="10"/>
        <v>🚩</v>
      </c>
      <c r="U19" s="1" t="str">
        <f t="shared" si="10"/>
        <v>🧻</v>
      </c>
      <c r="V19" s="1"/>
      <c r="W19" s="1"/>
    </row>
    <row r="20" hidden="1">
      <c r="A20" s="8"/>
      <c r="B20" s="118" t="s">
        <v>11</v>
      </c>
      <c r="C20" s="1" t="str">
        <f t="shared" ref="C20:K20" si="11">IF(C$5&gt;C$7,C8,)</f>
        <v>🧻</v>
      </c>
      <c r="D20" s="1" t="str">
        <f t="shared" si="11"/>
        <v>🧻</v>
      </c>
      <c r="E20" s="1" t="str">
        <f t="shared" si="11"/>
        <v/>
      </c>
      <c r="F20" s="1" t="str">
        <f t="shared" si="11"/>
        <v/>
      </c>
      <c r="G20" s="1" t="str">
        <f t="shared" si="11"/>
        <v/>
      </c>
      <c r="H20" s="1" t="str">
        <f t="shared" si="11"/>
        <v>🚩</v>
      </c>
      <c r="I20" s="1" t="str">
        <f t="shared" si="11"/>
        <v/>
      </c>
      <c r="J20" s="1" t="str">
        <f t="shared" si="11"/>
        <v>🧻</v>
      </c>
      <c r="K20" s="1" t="str">
        <f t="shared" si="11"/>
        <v>💩</v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/>
      </c>
      <c r="P20" s="1" t="str">
        <f t="shared" si="12"/>
        <v>🚩</v>
      </c>
      <c r="Q20" s="1" t="str">
        <f t="shared" si="12"/>
        <v/>
      </c>
      <c r="R20" s="1" t="str">
        <f t="shared" si="12"/>
        <v/>
      </c>
      <c r="S20" s="1" t="str">
        <f t="shared" si="12"/>
        <v/>
      </c>
      <c r="T20" s="1" t="str">
        <f t="shared" si="12"/>
        <v/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">
        <v>10</v>
      </c>
      <c r="C22" s="1" t="str">
        <f t="shared" ref="C22:K22" si="13">IFS(C19=$AD$4,4,C19=$AD$5,2,C19=$AD$6,1,C19=$AD$7,1,C19=$AD$8,0.5,C19="",)</f>
        <v/>
      </c>
      <c r="D22" s="1" t="str">
        <f t="shared" si="13"/>
        <v/>
      </c>
      <c r="E22" s="1">
        <f t="shared" si="13"/>
        <v>0.5</v>
      </c>
      <c r="F22" s="1" t="str">
        <f t="shared" si="13"/>
        <v/>
      </c>
      <c r="G22" s="1">
        <f t="shared" si="13"/>
        <v>2</v>
      </c>
      <c r="H22" s="1" t="str">
        <f t="shared" si="13"/>
        <v/>
      </c>
      <c r="I22" s="1">
        <f t="shared" si="13"/>
        <v>1</v>
      </c>
      <c r="J22" s="1" t="str">
        <f t="shared" si="13"/>
        <v/>
      </c>
      <c r="K22" s="1" t="str">
        <f t="shared" si="13"/>
        <v/>
      </c>
      <c r="L22" s="1"/>
      <c r="M22" s="1" t="str">
        <f t="shared" ref="M22:U22" si="14">IFS(M19=$AD$4,4,M19=$AD$5,2,M19=$AD$6,1,M19=$AD$7,1,M19=$AD$8,0.5,M19="",)</f>
        <v/>
      </c>
      <c r="N22" s="1" t="str">
        <f t="shared" si="14"/>
        <v/>
      </c>
      <c r="O22" s="1" t="str">
        <f t="shared" si="14"/>
        <v/>
      </c>
      <c r="P22" s="1" t="str">
        <f t="shared" si="14"/>
        <v/>
      </c>
      <c r="Q22" s="1" t="str">
        <f t="shared" si="14"/>
        <v/>
      </c>
      <c r="R22" s="1">
        <f t="shared" si="14"/>
        <v>2</v>
      </c>
      <c r="S22" s="1">
        <f t="shared" si="14"/>
        <v>1</v>
      </c>
      <c r="T22" s="1">
        <f t="shared" si="14"/>
        <v>1</v>
      </c>
      <c r="U22" s="1">
        <f t="shared" si="14"/>
        <v>1</v>
      </c>
      <c r="V22" s="1"/>
      <c r="W22" s="1"/>
      <c r="AC22" s="1"/>
      <c r="AD22" s="1"/>
      <c r="AE22" s="1"/>
    </row>
    <row r="23" hidden="1">
      <c r="A23" s="8"/>
      <c r="B23" s="118" t="s">
        <v>11</v>
      </c>
      <c r="C23" s="1">
        <f t="shared" ref="C23:K23" si="15">IFS(C20=$AD$4,4,C20=$AD$5,2,C20=$AD$6,1,C20=$AD$7,1,C20=$AD$8,0.5,C20="",)</f>
        <v>1</v>
      </c>
      <c r="D23" s="1">
        <f t="shared" si="15"/>
        <v>1</v>
      </c>
      <c r="E23" s="1" t="str">
        <f t="shared" si="15"/>
        <v/>
      </c>
      <c r="F23" s="1" t="str">
        <f t="shared" si="15"/>
        <v/>
      </c>
      <c r="G23" s="1" t="str">
        <f t="shared" si="15"/>
        <v/>
      </c>
      <c r="H23" s="1">
        <f t="shared" si="15"/>
        <v>1</v>
      </c>
      <c r="I23" s="1" t="str">
        <f t="shared" si="15"/>
        <v/>
      </c>
      <c r="J23" s="1">
        <f t="shared" si="15"/>
        <v>1</v>
      </c>
      <c r="K23" s="1">
        <f t="shared" si="15"/>
        <v>0.5</v>
      </c>
      <c r="L23" s="1"/>
      <c r="M23" s="1" t="str">
        <f t="shared" ref="M23:U23" si="16">IFS(M20=$AD$4,4,M20=$AD$5,2,M20=$AD$6,1,M20=$AD$7,1,M20=$AD$8,0.5,M20="",)</f>
        <v/>
      </c>
      <c r="N23" s="1" t="str">
        <f t="shared" si="16"/>
        <v/>
      </c>
      <c r="O23" s="1" t="str">
        <f t="shared" si="16"/>
        <v/>
      </c>
      <c r="P23" s="1">
        <f t="shared" si="16"/>
        <v>1</v>
      </c>
      <c r="Q23" s="1" t="str">
        <f t="shared" si="16"/>
        <v/>
      </c>
      <c r="R23" s="1" t="str">
        <f t="shared" si="16"/>
        <v/>
      </c>
      <c r="S23" s="1" t="str">
        <f t="shared" si="16"/>
        <v/>
      </c>
      <c r="T23" s="1" t="str">
        <f t="shared" si="16"/>
        <v/>
      </c>
      <c r="U23" s="1" t="str">
        <f t="shared" si="16"/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8">C22</f>
        <v/>
      </c>
      <c r="D24" s="1">
        <f t="shared" ref="D24:U24" si="17">D22+C24</f>
        <v>0</v>
      </c>
      <c r="E24" s="1">
        <f t="shared" si="17"/>
        <v>0.5</v>
      </c>
      <c r="F24" s="1">
        <f t="shared" si="17"/>
        <v>0.5</v>
      </c>
      <c r="G24" s="1">
        <f t="shared" si="17"/>
        <v>2.5</v>
      </c>
      <c r="H24" s="1">
        <f t="shared" si="17"/>
        <v>2.5</v>
      </c>
      <c r="I24" s="1">
        <f t="shared" si="17"/>
        <v>3.5</v>
      </c>
      <c r="J24" s="1">
        <f t="shared" si="17"/>
        <v>3.5</v>
      </c>
      <c r="K24" s="1">
        <f t="shared" si="17"/>
        <v>3.5</v>
      </c>
      <c r="L24" s="1">
        <f t="shared" si="17"/>
        <v>3.5</v>
      </c>
      <c r="M24" s="1">
        <f t="shared" si="17"/>
        <v>3.5</v>
      </c>
      <c r="N24" s="1">
        <f t="shared" si="17"/>
        <v>3.5</v>
      </c>
      <c r="O24" s="1">
        <f t="shared" si="17"/>
        <v>3.5</v>
      </c>
      <c r="P24" s="1">
        <f t="shared" si="17"/>
        <v>3.5</v>
      </c>
      <c r="Q24" s="1">
        <f t="shared" si="17"/>
        <v>3.5</v>
      </c>
      <c r="R24" s="1">
        <f t="shared" si="17"/>
        <v>5.5</v>
      </c>
      <c r="S24" s="1">
        <f t="shared" si="17"/>
        <v>6.5</v>
      </c>
      <c r="T24" s="1">
        <f t="shared" si="17"/>
        <v>7.5</v>
      </c>
      <c r="U24" s="1">
        <f t="shared" si="17"/>
        <v>8.5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>
        <f t="shared" si="18"/>
        <v>1</v>
      </c>
      <c r="D25" s="1">
        <f t="shared" ref="D25:U25" si="19">D23+C25</f>
        <v>2</v>
      </c>
      <c r="E25" s="1">
        <f t="shared" si="19"/>
        <v>2</v>
      </c>
      <c r="F25" s="1">
        <f t="shared" si="19"/>
        <v>2</v>
      </c>
      <c r="G25" s="1">
        <f t="shared" si="19"/>
        <v>2</v>
      </c>
      <c r="H25" s="1">
        <f t="shared" si="19"/>
        <v>3</v>
      </c>
      <c r="I25" s="1">
        <f t="shared" si="19"/>
        <v>3</v>
      </c>
      <c r="J25" s="1">
        <f t="shared" si="19"/>
        <v>4</v>
      </c>
      <c r="K25" s="1">
        <f t="shared" si="19"/>
        <v>4.5</v>
      </c>
      <c r="L25" s="1">
        <f t="shared" si="19"/>
        <v>4.5</v>
      </c>
      <c r="M25" s="1">
        <f t="shared" si="19"/>
        <v>4.5</v>
      </c>
      <c r="N25" s="1">
        <f t="shared" si="19"/>
        <v>4.5</v>
      </c>
      <c r="O25" s="1">
        <f t="shared" si="19"/>
        <v>4.5</v>
      </c>
      <c r="P25" s="1">
        <f t="shared" si="19"/>
        <v>5.5</v>
      </c>
      <c r="Q25" s="1">
        <f t="shared" si="19"/>
        <v>5.5</v>
      </c>
      <c r="R25" s="1">
        <f t="shared" si="19"/>
        <v>5.5</v>
      </c>
      <c r="S25" s="1">
        <f t="shared" si="19"/>
        <v>5.5</v>
      </c>
      <c r="T25" s="1">
        <f t="shared" si="19"/>
        <v>5.5</v>
      </c>
      <c r="U25" s="1">
        <f t="shared" si="19"/>
        <v>5.5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47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46039.0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">
        <v>10</v>
      </c>
      <c r="AD3" s="25">
        <v>2.0</v>
      </c>
      <c r="AE3" s="93" t="s">
        <v>11</v>
      </c>
    </row>
    <row r="4">
      <c r="A4" s="8"/>
      <c r="B4" s="89" t="s">
        <v>18</v>
      </c>
      <c r="C4" s="37">
        <v>4.0</v>
      </c>
      <c r="D4" s="37">
        <v>5.0</v>
      </c>
      <c r="E4" s="37">
        <v>4.0</v>
      </c>
      <c r="F4" s="37">
        <v>3.0</v>
      </c>
      <c r="G4" s="37">
        <v>4.0</v>
      </c>
      <c r="H4" s="37">
        <v>3.0</v>
      </c>
      <c r="I4" s="37">
        <v>4.0</v>
      </c>
      <c r="J4" s="37">
        <v>5.0</v>
      </c>
      <c r="K4" s="37">
        <v>3.0</v>
      </c>
      <c r="L4" s="94">
        <f t="shared" ref="L4:L5" si="1">SUM(C4:K4)</f>
        <v>35</v>
      </c>
      <c r="M4" s="37">
        <v>4.0</v>
      </c>
      <c r="N4" s="37">
        <v>5.0</v>
      </c>
      <c r="O4" s="37">
        <v>3.0</v>
      </c>
      <c r="P4" s="37">
        <v>4.0</v>
      </c>
      <c r="Q4" s="37">
        <v>4.0</v>
      </c>
      <c r="R4" s="37">
        <v>3.0</v>
      </c>
      <c r="S4" s="37">
        <v>5.0</v>
      </c>
      <c r="T4" s="37">
        <v>4.0</v>
      </c>
      <c r="U4" s="37">
        <v>4.0</v>
      </c>
      <c r="V4" s="94">
        <f t="shared" ref="V4:V5" si="2">SUM(M4:U4)</f>
        <v>36</v>
      </c>
      <c r="W4" s="95">
        <f t="shared" ref="W4:W5" si="3">SUM(L4+V4)</f>
        <v>71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">
        <v>10</v>
      </c>
      <c r="C5" s="97">
        <v>5.0</v>
      </c>
      <c r="D5" s="97">
        <v>6.0</v>
      </c>
      <c r="E5" s="97">
        <v>6.0</v>
      </c>
      <c r="F5" s="97">
        <v>3.0</v>
      </c>
      <c r="G5" s="97">
        <v>6.0</v>
      </c>
      <c r="H5" s="97">
        <v>3.0</v>
      </c>
      <c r="I5" s="97">
        <v>4.0</v>
      </c>
      <c r="J5" s="97">
        <v>6.0</v>
      </c>
      <c r="K5" s="97">
        <v>5.0</v>
      </c>
      <c r="L5" s="98">
        <f t="shared" si="1"/>
        <v>44</v>
      </c>
      <c r="M5" s="97">
        <v>4.0</v>
      </c>
      <c r="N5" s="97">
        <v>7.0</v>
      </c>
      <c r="O5" s="97">
        <v>4.0</v>
      </c>
      <c r="P5" s="97">
        <v>5.0</v>
      </c>
      <c r="Q5" s="97">
        <v>6.0</v>
      </c>
      <c r="R5" s="97">
        <v>4.0</v>
      </c>
      <c r="S5" s="97">
        <v>7.0</v>
      </c>
      <c r="T5" s="97">
        <v>5.0</v>
      </c>
      <c r="U5" s="97">
        <v>6.0</v>
      </c>
      <c r="V5" s="98">
        <f t="shared" si="2"/>
        <v>48</v>
      </c>
      <c r="W5" s="99">
        <f t="shared" si="3"/>
        <v>92</v>
      </c>
      <c r="X5" s="100" t="str">
        <f>IFS(W5&gt;$W$4,"+",$W$4&gt;W5,"")</f>
        <v>+</v>
      </c>
      <c r="Y5" s="100">
        <f>W5-$W$4</f>
        <v>21</v>
      </c>
      <c r="Z5" s="101" t="str">
        <f>X5&amp;Y5</f>
        <v>+21</v>
      </c>
      <c r="AA5" s="1"/>
      <c r="AB5" s="16" t="s">
        <v>41</v>
      </c>
      <c r="AC5" s="44">
        <f>COUNTIF($C$6:$U$6,"🐥")</f>
        <v>0</v>
      </c>
      <c r="AD5" s="17" t="s">
        <v>15</v>
      </c>
      <c r="AE5" s="68">
        <f>COUNTIF($C$8:$U$8,"🐥")</f>
        <v>0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🧻</v>
      </c>
      <c r="D6" s="103" t="str">
        <f t="shared" si="4"/>
        <v>🧻</v>
      </c>
      <c r="E6" s="103" t="str">
        <f t="shared" si="4"/>
        <v>💩</v>
      </c>
      <c r="F6" s="103" t="str">
        <f t="shared" si="4"/>
        <v>🚩</v>
      </c>
      <c r="G6" s="103" t="str">
        <f t="shared" si="4"/>
        <v>💩</v>
      </c>
      <c r="H6" s="103" t="str">
        <f t="shared" si="4"/>
        <v>🚩</v>
      </c>
      <c r="I6" s="103" t="str">
        <f t="shared" si="4"/>
        <v>🚩</v>
      </c>
      <c r="J6" s="103" t="str">
        <f t="shared" si="4"/>
        <v>🧻</v>
      </c>
      <c r="K6" s="103" t="str">
        <f t="shared" si="4"/>
        <v>💩</v>
      </c>
      <c r="L6" s="104"/>
      <c r="M6" s="103" t="str">
        <f t="shared" ref="M6:U6" si="5">IFS(M$4-M5=1,$AD$5,M$4-M5=2,$AD$4,M$4=M5,$AD$6,M$4-M5=-1,$AD$7,M$4-M5=-2,$AD$8,M$4-M5=-3,$AD$9)</f>
        <v>🚩</v>
      </c>
      <c r="N6" s="103" t="str">
        <f t="shared" si="5"/>
        <v>💩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💩</v>
      </c>
      <c r="R6" s="103" t="str">
        <f t="shared" si="5"/>
        <v>🧻</v>
      </c>
      <c r="S6" s="103" t="str">
        <f t="shared" si="5"/>
        <v>💩</v>
      </c>
      <c r="T6" s="103" t="str">
        <f t="shared" si="5"/>
        <v>🧻</v>
      </c>
      <c r="U6" s="103" t="str">
        <f t="shared" si="5"/>
        <v>💩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4</v>
      </c>
      <c r="AD6" s="17" t="s">
        <v>19</v>
      </c>
      <c r="AE6" s="68">
        <f>COUNTIF($C$8:$U$8,"🚩")</f>
        <v>3</v>
      </c>
    </row>
    <row r="7">
      <c r="A7" s="8"/>
      <c r="B7" s="107" t="s">
        <v>11</v>
      </c>
      <c r="C7" s="97">
        <v>4.0</v>
      </c>
      <c r="D7" s="97">
        <v>8.0</v>
      </c>
      <c r="E7" s="97">
        <v>5.0</v>
      </c>
      <c r="F7" s="97">
        <v>3.0</v>
      </c>
      <c r="G7" s="97">
        <v>5.0</v>
      </c>
      <c r="H7" s="97">
        <v>3.0</v>
      </c>
      <c r="I7" s="97">
        <v>6.0</v>
      </c>
      <c r="J7" s="97">
        <v>7.0</v>
      </c>
      <c r="K7" s="97">
        <v>4.0</v>
      </c>
      <c r="L7" s="98">
        <f>SUM(C7:K7)</f>
        <v>45</v>
      </c>
      <c r="M7" s="97">
        <v>6.0</v>
      </c>
      <c r="N7" s="97">
        <v>6.0</v>
      </c>
      <c r="O7" s="97">
        <v>5.0</v>
      </c>
      <c r="P7" s="97">
        <v>7.0</v>
      </c>
      <c r="Q7" s="97">
        <v>6.0</v>
      </c>
      <c r="R7" s="97">
        <v>6.0</v>
      </c>
      <c r="S7" s="97">
        <v>7.0</v>
      </c>
      <c r="T7" s="97">
        <v>6.0</v>
      </c>
      <c r="U7" s="97">
        <v>5.0</v>
      </c>
      <c r="V7" s="98">
        <f>SUM(M7:U7)</f>
        <v>54</v>
      </c>
      <c r="W7" s="99">
        <f>SUM(L7+V7)</f>
        <v>99</v>
      </c>
      <c r="X7" s="100" t="str">
        <f>IFS(W7&gt;$W$4,"+",$W$4&gt;W7,"")</f>
        <v>+</v>
      </c>
      <c r="Y7" s="100">
        <f>W7-$W$4</f>
        <v>28</v>
      </c>
      <c r="Z7" s="101" t="str">
        <f>X7&amp;Y7</f>
        <v>+28</v>
      </c>
      <c r="AB7" s="16" t="s">
        <v>43</v>
      </c>
      <c r="AC7" s="44">
        <f>COUNTIF($C$6:$U$6,"🧻")</f>
        <v>7</v>
      </c>
      <c r="AD7" s="17" t="s">
        <v>23</v>
      </c>
      <c r="AE7" s="68">
        <f>COUNTIF($C$8:$U$8,"🧻")</f>
        <v>5</v>
      </c>
    </row>
    <row r="8">
      <c r="A8" s="8"/>
      <c r="B8" s="108"/>
      <c r="C8" s="80" t="str">
        <f t="shared" ref="C8:K8" si="6">IFS(C$4-C7=1,$AD$5,C$4-C7=2,$AD$4,C$4=C7,$AD$6,C$4-C7=-1,$AD$7,C$4-C7=-2,$AD$8,C$4-C7=-3,$AD$9)</f>
        <v>🚩</v>
      </c>
      <c r="D8" s="80" t="str">
        <f t="shared" si="6"/>
        <v>☠️</v>
      </c>
      <c r="E8" s="80" t="str">
        <f t="shared" si="6"/>
        <v>🧻</v>
      </c>
      <c r="F8" s="80" t="str">
        <f t="shared" si="6"/>
        <v>🚩</v>
      </c>
      <c r="G8" s="80" t="str">
        <f t="shared" si="6"/>
        <v>🧻</v>
      </c>
      <c r="H8" s="80" t="str">
        <f t="shared" si="6"/>
        <v>🚩</v>
      </c>
      <c r="I8" s="80" t="str">
        <f t="shared" si="6"/>
        <v>💩</v>
      </c>
      <c r="J8" s="80" t="str">
        <f t="shared" si="6"/>
        <v>💩</v>
      </c>
      <c r="K8" s="80" t="str">
        <f t="shared" si="6"/>
        <v>🧻</v>
      </c>
      <c r="L8" s="109"/>
      <c r="M8" s="80" t="str">
        <f t="shared" ref="M8:U8" si="7">IFS(M$4-M7=1,$AD$5,M$4-M7=2,$AD$4,M$4=M7,$AD$6,M$4-M7=-1,$AD$7,M$4-M7=-2,$AD$8,M$4-M7=-3,$AD$9)</f>
        <v>💩</v>
      </c>
      <c r="N8" s="80" t="str">
        <f t="shared" si="7"/>
        <v>🧻</v>
      </c>
      <c r="O8" s="80" t="str">
        <f t="shared" si="7"/>
        <v>💩</v>
      </c>
      <c r="P8" s="80" t="str">
        <f t="shared" si="7"/>
        <v>☠️</v>
      </c>
      <c r="Q8" s="80" t="str">
        <f t="shared" si="7"/>
        <v>💩</v>
      </c>
      <c r="R8" s="80" t="str">
        <f t="shared" si="7"/>
        <v>☠️</v>
      </c>
      <c r="S8" s="80" t="str">
        <f t="shared" si="7"/>
        <v>💩</v>
      </c>
      <c r="T8" s="80" t="str">
        <f t="shared" si="7"/>
        <v>💩</v>
      </c>
      <c r="U8" s="80" t="str">
        <f t="shared" si="7"/>
        <v>🧻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7</v>
      </c>
      <c r="AD8" s="17" t="s">
        <v>27</v>
      </c>
      <c r="AE8" s="68">
        <f>COUNTIF($C$8:$U$8,"💩")</f>
        <v>7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3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8</v>
      </c>
      <c r="AD10" s="113"/>
      <c r="AE10" s="114">
        <f>Count(C23:U23)</f>
        <v>6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8</v>
      </c>
      <c r="AD11" s="80"/>
      <c r="AE11" s="112">
        <f>U25</f>
        <v>6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IFS(AC11&gt;AE11,AC3,AE11&gt;AC11,AE3)</f>
        <v>Trent</v>
      </c>
      <c r="AD12" s="116">
        <f>IFS(AC11&gt;AE11,AC11-AE11,AE11&gt;AC11,AE11-AC11)</f>
        <v>2</v>
      </c>
      <c r="AE12" s="120">
        <f>AD12*AD3</f>
        <v>4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 t="str">
        <f t="shared" si="8"/>
        <v>AS</v>
      </c>
      <c r="E18" s="1">
        <f t="shared" si="8"/>
        <v>1</v>
      </c>
      <c r="F18" s="1">
        <f t="shared" si="8"/>
        <v>1</v>
      </c>
      <c r="G18" s="1">
        <f t="shared" si="8"/>
        <v>2</v>
      </c>
      <c r="H18" s="1">
        <f t="shared" si="8"/>
        <v>2</v>
      </c>
      <c r="I18" s="1">
        <f t="shared" si="8"/>
        <v>1</v>
      </c>
      <c r="J18" s="1" t="str">
        <f t="shared" si="8"/>
        <v>AS</v>
      </c>
      <c r="K18" s="1">
        <f t="shared" si="8"/>
        <v>1</v>
      </c>
      <c r="L18" s="1">
        <f t="shared" si="8"/>
        <v>1</v>
      </c>
      <c r="M18" s="1" t="str">
        <f t="shared" si="8"/>
        <v>AS</v>
      </c>
      <c r="N18" s="1">
        <f t="shared" si="8"/>
        <v>1</v>
      </c>
      <c r="O18" s="1" t="str">
        <f t="shared" si="8"/>
        <v>AS</v>
      </c>
      <c r="P18" s="1">
        <f t="shared" si="8"/>
        <v>1</v>
      </c>
      <c r="Q18" s="1">
        <f t="shared" si="8"/>
        <v>1</v>
      </c>
      <c r="R18" s="1">
        <f t="shared" si="8"/>
        <v>2</v>
      </c>
      <c r="S18" s="1">
        <f t="shared" si="8"/>
        <v>2</v>
      </c>
      <c r="T18" s="1">
        <f t="shared" si="8"/>
        <v>3</v>
      </c>
      <c r="U18" s="1">
        <f t="shared" si="8"/>
        <v>2</v>
      </c>
      <c r="V18" s="1"/>
      <c r="W18" s="1"/>
    </row>
    <row r="19" hidden="1">
      <c r="A19" s="8"/>
      <c r="B19" s="117" t="s">
        <v>10</v>
      </c>
      <c r="C19" s="1" t="str">
        <f>IF(C$5&lt;C$7,C6,)</f>
        <v/>
      </c>
      <c r="D19" s="1" t="str">
        <f t="shared" ref="D19:K19" si="9">IF(D5&lt;D7,D6,)</f>
        <v>🧻</v>
      </c>
      <c r="E19" s="1" t="str">
        <f t="shared" si="9"/>
        <v/>
      </c>
      <c r="F19" s="1" t="str">
        <f t="shared" si="9"/>
        <v/>
      </c>
      <c r="G19" s="1" t="str">
        <f t="shared" si="9"/>
        <v/>
      </c>
      <c r="H19" s="1" t="str">
        <f t="shared" si="9"/>
        <v/>
      </c>
      <c r="I19" s="1" t="str">
        <f t="shared" si="9"/>
        <v>🚩</v>
      </c>
      <c r="J19" s="1" t="str">
        <f t="shared" si="9"/>
        <v>🧻</v>
      </c>
      <c r="K19" s="1" t="str">
        <f t="shared" si="9"/>
        <v/>
      </c>
      <c r="L19" s="1"/>
      <c r="M19" s="1" t="str">
        <f t="shared" ref="M19:U19" si="10">IF(M5&lt;M7,M6,)</f>
        <v>🚩</v>
      </c>
      <c r="N19" s="1" t="str">
        <f t="shared" si="10"/>
        <v/>
      </c>
      <c r="O19" s="1" t="str">
        <f t="shared" si="10"/>
        <v>🧻</v>
      </c>
      <c r="P19" s="1" t="str">
        <f t="shared" si="10"/>
        <v>🧻</v>
      </c>
      <c r="Q19" s="1" t="str">
        <f t="shared" si="10"/>
        <v/>
      </c>
      <c r="R19" s="1" t="str">
        <f t="shared" si="10"/>
        <v>🧻</v>
      </c>
      <c r="S19" s="1" t="str">
        <f t="shared" si="10"/>
        <v/>
      </c>
      <c r="T19" s="1" t="str">
        <f t="shared" si="10"/>
        <v>🧻</v>
      </c>
      <c r="U19" s="1" t="str">
        <f t="shared" si="10"/>
        <v/>
      </c>
      <c r="V19" s="1"/>
      <c r="W19" s="1"/>
    </row>
    <row r="20" hidden="1">
      <c r="A20" s="8"/>
      <c r="B20" s="118" t="s">
        <v>11</v>
      </c>
      <c r="C20" s="1" t="str">
        <f t="shared" ref="C20:K20" si="11">IF(C$5&gt;C$7,C8,)</f>
        <v>🚩</v>
      </c>
      <c r="D20" s="1" t="str">
        <f t="shared" si="11"/>
        <v/>
      </c>
      <c r="E20" s="1" t="str">
        <f t="shared" si="11"/>
        <v>🧻</v>
      </c>
      <c r="F20" s="1" t="str">
        <f t="shared" si="11"/>
        <v/>
      </c>
      <c r="G20" s="1" t="str">
        <f t="shared" si="11"/>
        <v>🧻</v>
      </c>
      <c r="H20" s="1" t="str">
        <f t="shared" si="11"/>
        <v/>
      </c>
      <c r="I20" s="1" t="str">
        <f t="shared" si="11"/>
        <v/>
      </c>
      <c r="J20" s="1" t="str">
        <f t="shared" si="11"/>
        <v/>
      </c>
      <c r="K20" s="1" t="str">
        <f t="shared" si="11"/>
        <v>🧻</v>
      </c>
      <c r="L20" s="1"/>
      <c r="M20" s="1" t="str">
        <f t="shared" ref="M20:U20" si="12">IF(M$5&gt;M$7,M8,)</f>
        <v/>
      </c>
      <c r="N20" s="1" t="str">
        <f t="shared" si="12"/>
        <v>🧻</v>
      </c>
      <c r="O20" s="1" t="str">
        <f t="shared" si="12"/>
        <v/>
      </c>
      <c r="P20" s="1" t="str">
        <f t="shared" si="12"/>
        <v/>
      </c>
      <c r="Q20" s="1" t="str">
        <f t="shared" si="12"/>
        <v/>
      </c>
      <c r="R20" s="1" t="str">
        <f t="shared" si="12"/>
        <v/>
      </c>
      <c r="S20" s="1" t="str">
        <f t="shared" si="12"/>
        <v/>
      </c>
      <c r="T20" s="1" t="str">
        <f t="shared" si="12"/>
        <v/>
      </c>
      <c r="U20" s="1" t="str">
        <f t="shared" si="12"/>
        <v>🧻</v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">
        <v>10</v>
      </c>
      <c r="C22" s="1" t="str">
        <f t="shared" ref="C22:K22" si="13">IFS(C19=$AD$4,4,C19=$AD$5,2,C19=$AD$6,1,C19=$AD$7,1,C19=$AD$8,0.5,C19="",)</f>
        <v/>
      </c>
      <c r="D22" s="1">
        <f t="shared" si="13"/>
        <v>1</v>
      </c>
      <c r="E22" s="1" t="str">
        <f t="shared" si="13"/>
        <v/>
      </c>
      <c r="F22" s="1" t="str">
        <f t="shared" si="13"/>
        <v/>
      </c>
      <c r="G22" s="1" t="str">
        <f t="shared" si="13"/>
        <v/>
      </c>
      <c r="H22" s="1" t="str">
        <f t="shared" si="13"/>
        <v/>
      </c>
      <c r="I22" s="1">
        <f t="shared" si="13"/>
        <v>1</v>
      </c>
      <c r="J22" s="1">
        <f t="shared" si="13"/>
        <v>1</v>
      </c>
      <c r="K22" s="1" t="str">
        <f t="shared" si="13"/>
        <v/>
      </c>
      <c r="L22" s="1"/>
      <c r="M22" s="1">
        <f t="shared" ref="M22:U22" si="14">IFS(M19=$AD$4,4,M19=$AD$5,2,M19=$AD$6,1,M19=$AD$7,1,M19=$AD$8,0.5,M19="",)</f>
        <v>1</v>
      </c>
      <c r="N22" s="1" t="str">
        <f t="shared" si="14"/>
        <v/>
      </c>
      <c r="O22" s="1">
        <f t="shared" si="14"/>
        <v>1</v>
      </c>
      <c r="P22" s="1">
        <f t="shared" si="14"/>
        <v>1</v>
      </c>
      <c r="Q22" s="1" t="str">
        <f t="shared" si="14"/>
        <v/>
      </c>
      <c r="R22" s="1">
        <f t="shared" si="14"/>
        <v>1</v>
      </c>
      <c r="S22" s="1" t="str">
        <f t="shared" si="14"/>
        <v/>
      </c>
      <c r="T22" s="1">
        <f t="shared" si="14"/>
        <v>1</v>
      </c>
      <c r="U22" s="1" t="str">
        <f t="shared" si="14"/>
        <v/>
      </c>
      <c r="V22" s="1"/>
      <c r="W22" s="1"/>
      <c r="AC22" s="1"/>
      <c r="AD22" s="1"/>
      <c r="AE22" s="1"/>
    </row>
    <row r="23" hidden="1">
      <c r="A23" s="8"/>
      <c r="B23" s="118" t="s">
        <v>11</v>
      </c>
      <c r="C23" s="1">
        <f t="shared" ref="C23:K23" si="15">IFS(C20=$AD$4,4,C20=$AD$5,2,C20=$AD$6,1,C20=$AD$7,1,C20=$AD$8,0.5,C20="",)</f>
        <v>1</v>
      </c>
      <c r="D23" s="1" t="str">
        <f t="shared" si="15"/>
        <v/>
      </c>
      <c r="E23" s="1">
        <f t="shared" si="15"/>
        <v>1</v>
      </c>
      <c r="F23" s="1" t="str">
        <f t="shared" si="15"/>
        <v/>
      </c>
      <c r="G23" s="1">
        <f t="shared" si="15"/>
        <v>1</v>
      </c>
      <c r="H23" s="1" t="str">
        <f t="shared" si="15"/>
        <v/>
      </c>
      <c r="I23" s="1" t="str">
        <f t="shared" si="15"/>
        <v/>
      </c>
      <c r="J23" s="1" t="str">
        <f t="shared" si="15"/>
        <v/>
      </c>
      <c r="K23" s="1">
        <f t="shared" si="15"/>
        <v>1</v>
      </c>
      <c r="L23" s="1"/>
      <c r="M23" s="1" t="str">
        <f t="shared" ref="M23:U23" si="16">IFS(M20=$AD$4,4,M20=$AD$5,2,M20=$AD$6,1,M20=$AD$7,1,M20=$AD$8,0.5,M20="",)</f>
        <v/>
      </c>
      <c r="N23" s="1">
        <f t="shared" si="16"/>
        <v>1</v>
      </c>
      <c r="O23" s="1" t="str">
        <f t="shared" si="16"/>
        <v/>
      </c>
      <c r="P23" s="1" t="str">
        <f t="shared" si="16"/>
        <v/>
      </c>
      <c r="Q23" s="1" t="str">
        <f t="shared" si="16"/>
        <v/>
      </c>
      <c r="R23" s="1" t="str">
        <f t="shared" si="16"/>
        <v/>
      </c>
      <c r="S23" s="1" t="str">
        <f t="shared" si="16"/>
        <v/>
      </c>
      <c r="T23" s="1" t="str">
        <f t="shared" si="16"/>
        <v/>
      </c>
      <c r="U23" s="1">
        <f t="shared" si="16"/>
        <v>1</v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8">C22</f>
        <v/>
      </c>
      <c r="D24" s="1">
        <f t="shared" ref="D24:U24" si="17">D22+C24</f>
        <v>1</v>
      </c>
      <c r="E24" s="1">
        <f t="shared" si="17"/>
        <v>1</v>
      </c>
      <c r="F24" s="1">
        <f t="shared" si="17"/>
        <v>1</v>
      </c>
      <c r="G24" s="1">
        <f t="shared" si="17"/>
        <v>1</v>
      </c>
      <c r="H24" s="1">
        <f t="shared" si="17"/>
        <v>1</v>
      </c>
      <c r="I24" s="1">
        <f t="shared" si="17"/>
        <v>2</v>
      </c>
      <c r="J24" s="1">
        <f t="shared" si="17"/>
        <v>3</v>
      </c>
      <c r="K24" s="1">
        <f t="shared" si="17"/>
        <v>3</v>
      </c>
      <c r="L24" s="1">
        <f t="shared" si="17"/>
        <v>3</v>
      </c>
      <c r="M24" s="1">
        <f t="shared" si="17"/>
        <v>4</v>
      </c>
      <c r="N24" s="1">
        <f t="shared" si="17"/>
        <v>4</v>
      </c>
      <c r="O24" s="1">
        <f t="shared" si="17"/>
        <v>5</v>
      </c>
      <c r="P24" s="1">
        <f t="shared" si="17"/>
        <v>6</v>
      </c>
      <c r="Q24" s="1">
        <f t="shared" si="17"/>
        <v>6</v>
      </c>
      <c r="R24" s="1">
        <f t="shared" si="17"/>
        <v>7</v>
      </c>
      <c r="S24" s="1">
        <f t="shared" si="17"/>
        <v>7</v>
      </c>
      <c r="T24" s="1">
        <f t="shared" si="17"/>
        <v>8</v>
      </c>
      <c r="U24" s="1">
        <f t="shared" si="17"/>
        <v>8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>
        <f t="shared" si="18"/>
        <v>1</v>
      </c>
      <c r="D25" s="1">
        <f t="shared" ref="D25:U25" si="19">D23+C25</f>
        <v>1</v>
      </c>
      <c r="E25" s="1">
        <f t="shared" si="19"/>
        <v>2</v>
      </c>
      <c r="F25" s="1">
        <f t="shared" si="19"/>
        <v>2</v>
      </c>
      <c r="G25" s="1">
        <f t="shared" si="19"/>
        <v>3</v>
      </c>
      <c r="H25" s="1">
        <f t="shared" si="19"/>
        <v>3</v>
      </c>
      <c r="I25" s="1">
        <f t="shared" si="19"/>
        <v>3</v>
      </c>
      <c r="J25" s="1">
        <f t="shared" si="19"/>
        <v>3</v>
      </c>
      <c r="K25" s="1">
        <f t="shared" si="19"/>
        <v>4</v>
      </c>
      <c r="L25" s="1">
        <f t="shared" si="19"/>
        <v>4</v>
      </c>
      <c r="M25" s="1">
        <f t="shared" si="19"/>
        <v>4</v>
      </c>
      <c r="N25" s="1">
        <f t="shared" si="19"/>
        <v>5</v>
      </c>
      <c r="O25" s="1">
        <f t="shared" si="19"/>
        <v>5</v>
      </c>
      <c r="P25" s="1">
        <f t="shared" si="19"/>
        <v>5</v>
      </c>
      <c r="Q25" s="1">
        <f t="shared" si="19"/>
        <v>5</v>
      </c>
      <c r="R25" s="1">
        <f t="shared" si="19"/>
        <v>5</v>
      </c>
      <c r="S25" s="1">
        <f t="shared" si="19"/>
        <v>5</v>
      </c>
      <c r="T25" s="1">
        <f t="shared" si="19"/>
        <v>5</v>
      </c>
      <c r="U25" s="1">
        <f t="shared" si="19"/>
        <v>6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11" width="2.63"/>
    <col customWidth="1" min="12" max="12" width="6.25"/>
    <col customWidth="1" min="13" max="21" width="2.63"/>
    <col customWidth="1" min="22" max="22" width="6.13"/>
    <col customWidth="1" min="23" max="23" width="4.38"/>
    <col customWidth="1" hidden="1" min="24" max="24" width="4.25"/>
    <col customWidth="1" hidden="1" min="25" max="25" width="4.0"/>
    <col customWidth="1" min="26" max="26" width="6.0"/>
  </cols>
  <sheetData>
    <row r="1" ht="9.0" customHeight="1">
      <c r="A1" s="8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8"/>
      <c r="B2" s="84" t="s">
        <v>46</v>
      </c>
      <c r="C2" s="85" t="s">
        <v>73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9"/>
      <c r="AA2" s="37"/>
      <c r="AB2" s="86" t="s">
        <v>74</v>
      </c>
      <c r="AC2" s="87"/>
      <c r="AD2" s="87"/>
      <c r="AE2" s="88"/>
    </row>
    <row r="3">
      <c r="A3" s="8"/>
      <c r="B3" s="122">
        <v>46023.0</v>
      </c>
      <c r="C3" s="90">
        <v>1.0</v>
      </c>
      <c r="D3" s="90">
        <v>2.0</v>
      </c>
      <c r="E3" s="90">
        <v>3.0</v>
      </c>
      <c r="F3" s="90">
        <v>4.0</v>
      </c>
      <c r="G3" s="90">
        <v>5.0</v>
      </c>
      <c r="H3" s="90">
        <v>6.0</v>
      </c>
      <c r="I3" s="90">
        <v>7.0</v>
      </c>
      <c r="J3" s="90">
        <v>8.0</v>
      </c>
      <c r="K3" s="90">
        <v>9.0</v>
      </c>
      <c r="L3" s="90" t="s">
        <v>63</v>
      </c>
      <c r="M3" s="90">
        <v>10.0</v>
      </c>
      <c r="N3" s="90">
        <v>11.0</v>
      </c>
      <c r="O3" s="90">
        <v>12.0</v>
      </c>
      <c r="P3" s="90">
        <v>13.0</v>
      </c>
      <c r="Q3" s="90">
        <v>14.0</v>
      </c>
      <c r="R3" s="90">
        <v>15.0</v>
      </c>
      <c r="S3" s="90">
        <v>16.0</v>
      </c>
      <c r="T3" s="90">
        <v>17.0</v>
      </c>
      <c r="U3" s="90">
        <v>18.0</v>
      </c>
      <c r="V3" s="90" t="s">
        <v>64</v>
      </c>
      <c r="W3" s="90" t="s">
        <v>76</v>
      </c>
      <c r="X3" s="90"/>
      <c r="Y3" s="90"/>
      <c r="Z3" s="91" t="s">
        <v>39</v>
      </c>
      <c r="AA3" s="22"/>
      <c r="AB3" s="92"/>
      <c r="AC3" s="27" t="s">
        <v>10</v>
      </c>
      <c r="AD3" s="25">
        <v>1.0</v>
      </c>
      <c r="AE3" s="93" t="s">
        <v>11</v>
      </c>
    </row>
    <row r="4">
      <c r="A4" s="8"/>
      <c r="B4" s="89" t="s">
        <v>18</v>
      </c>
      <c r="C4" s="37">
        <v>4.0</v>
      </c>
      <c r="D4" s="37">
        <v>4.0</v>
      </c>
      <c r="E4" s="37">
        <v>4.0</v>
      </c>
      <c r="F4" s="37">
        <v>5.0</v>
      </c>
      <c r="G4" s="37">
        <v>3.0</v>
      </c>
      <c r="H4" s="37">
        <v>4.0</v>
      </c>
      <c r="I4" s="37">
        <v>4.0</v>
      </c>
      <c r="J4" s="37">
        <v>3.0</v>
      </c>
      <c r="K4" s="37">
        <v>5.0</v>
      </c>
      <c r="L4" s="94">
        <f t="shared" ref="L4:L5" si="1">SUM(C4:K4)</f>
        <v>36</v>
      </c>
      <c r="M4" s="37">
        <v>4.0</v>
      </c>
      <c r="N4" s="37">
        <v>3.0</v>
      </c>
      <c r="O4" s="37">
        <v>4.0</v>
      </c>
      <c r="P4" s="37">
        <v>5.0</v>
      </c>
      <c r="Q4" s="37">
        <v>4.0</v>
      </c>
      <c r="R4" s="37">
        <v>4.0</v>
      </c>
      <c r="S4" s="37">
        <v>5.0</v>
      </c>
      <c r="T4" s="37">
        <v>3.0</v>
      </c>
      <c r="U4" s="37">
        <v>5.0</v>
      </c>
      <c r="V4" s="94">
        <f t="shared" ref="V4:V5" si="2">SUM(M4:U4)</f>
        <v>37</v>
      </c>
      <c r="W4" s="95">
        <f t="shared" ref="W4:W5" si="3">SUM(L4+V4)</f>
        <v>73</v>
      </c>
      <c r="X4" s="1"/>
      <c r="Y4" s="1"/>
      <c r="Z4" s="49"/>
      <c r="AA4" s="1"/>
      <c r="AB4" s="16" t="s">
        <v>40</v>
      </c>
      <c r="AC4" s="44">
        <f>COUNTIF($C$6:$U$6,"🦅")</f>
        <v>0</v>
      </c>
      <c r="AD4" s="17" t="s">
        <v>9</v>
      </c>
      <c r="AE4" s="68">
        <f>COUNTIF($C$8:$U$8,"🦅")</f>
        <v>0</v>
      </c>
    </row>
    <row r="5">
      <c r="A5" s="8"/>
      <c r="B5" s="96" t="s">
        <v>10</v>
      </c>
      <c r="C5" s="97">
        <v>6.0</v>
      </c>
      <c r="D5" s="97">
        <v>5.0</v>
      </c>
      <c r="E5" s="97">
        <v>5.0</v>
      </c>
      <c r="F5" s="97">
        <v>5.0</v>
      </c>
      <c r="G5" s="97">
        <v>4.0</v>
      </c>
      <c r="H5" s="97">
        <v>4.0</v>
      </c>
      <c r="I5" s="97">
        <v>5.0</v>
      </c>
      <c r="J5" s="97">
        <v>3.0</v>
      </c>
      <c r="K5" s="97">
        <v>5.0</v>
      </c>
      <c r="L5" s="98">
        <f t="shared" si="1"/>
        <v>42</v>
      </c>
      <c r="M5" s="97">
        <v>5.0</v>
      </c>
      <c r="N5" s="97">
        <v>3.0</v>
      </c>
      <c r="O5" s="97">
        <v>5.0</v>
      </c>
      <c r="P5" s="97">
        <v>6.0</v>
      </c>
      <c r="Q5" s="97">
        <v>4.0</v>
      </c>
      <c r="R5" s="97">
        <v>5.0</v>
      </c>
      <c r="S5" s="97">
        <v>6.0</v>
      </c>
      <c r="T5" s="97">
        <v>4.0</v>
      </c>
      <c r="U5" s="97">
        <v>6.0</v>
      </c>
      <c r="V5" s="98">
        <f t="shared" si="2"/>
        <v>44</v>
      </c>
      <c r="W5" s="99">
        <f t="shared" si="3"/>
        <v>86</v>
      </c>
      <c r="X5" s="100" t="str">
        <f>IFS(W5&gt;$W$4,"+",$W$4&gt;W5,"")</f>
        <v>+</v>
      </c>
      <c r="Y5" s="100">
        <f>W5-$W$4</f>
        <v>13</v>
      </c>
      <c r="Z5" s="101" t="str">
        <f>X5&amp;Y5</f>
        <v>+13</v>
      </c>
      <c r="AA5" s="1"/>
      <c r="AB5" s="16" t="s">
        <v>41</v>
      </c>
      <c r="AC5" s="44">
        <f>COUNTIF($C$6:$U$6,"🐥")</f>
        <v>0</v>
      </c>
      <c r="AD5" s="17" t="s">
        <v>15</v>
      </c>
      <c r="AE5" s="68">
        <f>COUNTIF($C$8:$U$8,"🐥")</f>
        <v>1</v>
      </c>
    </row>
    <row r="6">
      <c r="A6" s="8"/>
      <c r="B6" s="102"/>
      <c r="C6" s="103" t="str">
        <f t="shared" ref="C6:K6" si="4">IFS(C$4-C5=1,$AD$5,C$4-C5=2,$AD$4,C$4=C5,$AD$6,C$4-C5=-1,$AD$7,C$4-C5=-2,$AD$8,C$4-C5=-3,$AD$9)</f>
        <v>💩</v>
      </c>
      <c r="D6" s="103" t="str">
        <f t="shared" si="4"/>
        <v>🧻</v>
      </c>
      <c r="E6" s="103" t="str">
        <f t="shared" si="4"/>
        <v>🧻</v>
      </c>
      <c r="F6" s="103" t="str">
        <f t="shared" si="4"/>
        <v>🚩</v>
      </c>
      <c r="G6" s="103" t="str">
        <f t="shared" si="4"/>
        <v>🧻</v>
      </c>
      <c r="H6" s="103" t="str">
        <f t="shared" si="4"/>
        <v>🚩</v>
      </c>
      <c r="I6" s="103" t="str">
        <f t="shared" si="4"/>
        <v>🧻</v>
      </c>
      <c r="J6" s="103" t="str">
        <f t="shared" si="4"/>
        <v>🚩</v>
      </c>
      <c r="K6" s="103" t="str">
        <f t="shared" si="4"/>
        <v>🚩</v>
      </c>
      <c r="L6" s="104"/>
      <c r="M6" s="103" t="str">
        <f t="shared" ref="M6:U6" si="5">IFS(M$4-M5=1,$AD$5,M$4-M5=2,$AD$4,M$4=M5,$AD$6,M$4-M5=-1,$AD$7,M$4-M5=-2,$AD$8,M$4-M5=-3,$AD$9)</f>
        <v>🧻</v>
      </c>
      <c r="N6" s="103" t="str">
        <f t="shared" si="5"/>
        <v>🚩</v>
      </c>
      <c r="O6" s="103" t="str">
        <f t="shared" si="5"/>
        <v>🧻</v>
      </c>
      <c r="P6" s="103" t="str">
        <f t="shared" si="5"/>
        <v>🧻</v>
      </c>
      <c r="Q6" s="103" t="str">
        <f t="shared" si="5"/>
        <v>🚩</v>
      </c>
      <c r="R6" s="103" t="str">
        <f t="shared" si="5"/>
        <v>🧻</v>
      </c>
      <c r="S6" s="103" t="str">
        <f t="shared" si="5"/>
        <v>🧻</v>
      </c>
      <c r="T6" s="103" t="str">
        <f t="shared" si="5"/>
        <v>🧻</v>
      </c>
      <c r="U6" s="103" t="str">
        <f t="shared" si="5"/>
        <v>🧻</v>
      </c>
      <c r="V6" s="104"/>
      <c r="W6" s="104"/>
      <c r="X6" s="105"/>
      <c r="Y6" s="105"/>
      <c r="Z6" s="106"/>
      <c r="AB6" s="16" t="s">
        <v>42</v>
      </c>
      <c r="AC6" s="44">
        <f>COUNTIF($C$6:$U$6,"🚩")</f>
        <v>6</v>
      </c>
      <c r="AD6" s="17" t="s">
        <v>19</v>
      </c>
      <c r="AE6" s="68">
        <f>COUNTIF($C$8:$U$8,"🚩")</f>
        <v>6</v>
      </c>
    </row>
    <row r="7">
      <c r="A7" s="8"/>
      <c r="B7" s="107" t="s">
        <v>11</v>
      </c>
      <c r="C7" s="97">
        <v>5.0</v>
      </c>
      <c r="D7" s="97">
        <v>4.0</v>
      </c>
      <c r="E7" s="97">
        <v>5.0</v>
      </c>
      <c r="F7" s="97">
        <v>5.0</v>
      </c>
      <c r="G7" s="97">
        <v>4.0</v>
      </c>
      <c r="H7" s="97">
        <v>5.0</v>
      </c>
      <c r="I7" s="97">
        <v>4.0</v>
      </c>
      <c r="J7" s="97">
        <v>4.0</v>
      </c>
      <c r="K7" s="97">
        <v>5.0</v>
      </c>
      <c r="L7" s="98">
        <f>SUM(C7:K7)</f>
        <v>41</v>
      </c>
      <c r="M7" s="97">
        <v>5.0</v>
      </c>
      <c r="N7" s="97">
        <v>4.0</v>
      </c>
      <c r="O7" s="97">
        <v>5.0</v>
      </c>
      <c r="P7" s="97">
        <v>5.0</v>
      </c>
      <c r="Q7" s="97">
        <v>3.0</v>
      </c>
      <c r="R7" s="97">
        <v>5.0</v>
      </c>
      <c r="S7" s="97">
        <v>6.0</v>
      </c>
      <c r="T7" s="97">
        <v>3.0</v>
      </c>
      <c r="U7" s="97">
        <v>7.0</v>
      </c>
      <c r="V7" s="98">
        <f>SUM(M7:U7)</f>
        <v>43</v>
      </c>
      <c r="W7" s="99">
        <f>SUM(L7+V7)</f>
        <v>84</v>
      </c>
      <c r="X7" s="100" t="str">
        <f>IFS(W7&gt;$W$4,"+",$W$4&gt;W7,"")</f>
        <v>+</v>
      </c>
      <c r="Y7" s="100">
        <f>W7-$W$4</f>
        <v>11</v>
      </c>
      <c r="Z7" s="101" t="str">
        <f>X7&amp;Y7</f>
        <v>+11</v>
      </c>
      <c r="AB7" s="16" t="s">
        <v>43</v>
      </c>
      <c r="AC7" s="44">
        <f>COUNTIF($C$6:$U$6,"🧻")</f>
        <v>11</v>
      </c>
      <c r="AD7" s="17" t="s">
        <v>23</v>
      </c>
      <c r="AE7" s="68">
        <f>COUNTIF($C$8:$U$8,"🧻")</f>
        <v>10</v>
      </c>
    </row>
    <row r="8">
      <c r="A8" s="8"/>
      <c r="B8" s="108"/>
      <c r="C8" s="80" t="str">
        <f t="shared" ref="C8:K8" si="6">IFS(C$4-C7=1,$AD$5,C$4-C7=2,$AD$4,C$4=C7,$AD$6,C$4-C7=-1,$AD$7,C$4-C7=-2,$AD$8,C$4-C7=-3,$AD$9)</f>
        <v>🧻</v>
      </c>
      <c r="D8" s="80" t="str">
        <f t="shared" si="6"/>
        <v>🚩</v>
      </c>
      <c r="E8" s="80" t="str">
        <f t="shared" si="6"/>
        <v>🧻</v>
      </c>
      <c r="F8" s="80" t="str">
        <f t="shared" si="6"/>
        <v>🚩</v>
      </c>
      <c r="G8" s="80" t="str">
        <f t="shared" si="6"/>
        <v>🧻</v>
      </c>
      <c r="H8" s="80" t="str">
        <f t="shared" si="6"/>
        <v>🧻</v>
      </c>
      <c r="I8" s="80" t="str">
        <f t="shared" si="6"/>
        <v>🚩</v>
      </c>
      <c r="J8" s="80" t="str">
        <f t="shared" si="6"/>
        <v>🧻</v>
      </c>
      <c r="K8" s="80" t="str">
        <f t="shared" si="6"/>
        <v>🚩</v>
      </c>
      <c r="L8" s="109"/>
      <c r="M8" s="80" t="str">
        <f t="shared" ref="M8:U8" si="7">IFS(M$4-M7=1,$AD$5,M$4-M7=2,$AD$4,M$4=M7,$AD$6,M$4-M7=-1,$AD$7,M$4-M7=-2,$AD$8,M$4-M7=-3,$AD$9)</f>
        <v>🧻</v>
      </c>
      <c r="N8" s="80" t="str">
        <f t="shared" si="7"/>
        <v>🧻</v>
      </c>
      <c r="O8" s="80" t="str">
        <f t="shared" si="7"/>
        <v>🧻</v>
      </c>
      <c r="P8" s="80" t="str">
        <f t="shared" si="7"/>
        <v>🚩</v>
      </c>
      <c r="Q8" s="80" t="str">
        <f t="shared" si="7"/>
        <v>🐥</v>
      </c>
      <c r="R8" s="80" t="str">
        <f t="shared" si="7"/>
        <v>🧻</v>
      </c>
      <c r="S8" s="80" t="str">
        <f t="shared" si="7"/>
        <v>🧻</v>
      </c>
      <c r="T8" s="80" t="str">
        <f t="shared" si="7"/>
        <v>🚩</v>
      </c>
      <c r="U8" s="80" t="str">
        <f t="shared" si="7"/>
        <v>💩</v>
      </c>
      <c r="V8" s="109"/>
      <c r="W8" s="109"/>
      <c r="X8" s="110"/>
      <c r="Y8" s="110"/>
      <c r="Z8" s="111"/>
      <c r="AB8" s="16" t="s">
        <v>44</v>
      </c>
      <c r="AC8" s="44">
        <f>COUNTIF($C$6:$U$6,"💩")</f>
        <v>1</v>
      </c>
      <c r="AD8" s="17" t="s">
        <v>27</v>
      </c>
      <c r="AE8" s="68">
        <f>COUNTIF($C$8:$U$8,"💩")</f>
        <v>1</v>
      </c>
    </row>
    <row r="9">
      <c r="V9" s="1"/>
      <c r="W9" s="1"/>
      <c r="AB9" s="19" t="s">
        <v>45</v>
      </c>
      <c r="AC9" s="80">
        <f>COUNTIF($C$6:$U$6,"☠️")</f>
        <v>0</v>
      </c>
      <c r="AD9" s="20" t="s">
        <v>70</v>
      </c>
      <c r="AE9" s="112">
        <f>COUNTIF($C$8:$U$8,"☠️")</f>
        <v>0</v>
      </c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B10" s="11" t="s">
        <v>78</v>
      </c>
      <c r="AC10" s="113">
        <f>Count(C22:U22)</f>
        <v>4</v>
      </c>
      <c r="AD10" s="113"/>
      <c r="AE10" s="114">
        <f>Count(C23:U23)</f>
        <v>6</v>
      </c>
    </row>
    <row r="11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AB11" s="19" t="s">
        <v>79</v>
      </c>
      <c r="AC11" s="80">
        <f>U24</f>
        <v>4</v>
      </c>
      <c r="AD11" s="80"/>
      <c r="AE11" s="112">
        <f>U25</f>
        <v>7</v>
      </c>
    </row>
    <row r="12">
      <c r="A12" s="8"/>
      <c r="B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B12" s="115" t="s">
        <v>80</v>
      </c>
      <c r="AC12" s="116" t="str">
        <f>IFS(AC11&gt;AE11,AC3,AE11&gt;AC11,AE3)</f>
        <v>Trey</v>
      </c>
      <c r="AD12" s="116">
        <f>IFS(AC11&gt;AE11,AC11-AE11,AE11&gt;AC11,AE11-AC11)</f>
        <v>3</v>
      </c>
      <c r="AE12" s="120">
        <f>AD12*AD3</f>
        <v>3</v>
      </c>
    </row>
    <row r="13">
      <c r="A13" s="8"/>
      <c r="B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idden="1">
      <c r="A18" s="8"/>
      <c r="B18" s="22" t="s">
        <v>81</v>
      </c>
      <c r="C18" s="1">
        <f t="shared" ref="C18:U18" si="8">IFS(C24&gt;C25,C24-C25,C25&gt;C24,C25-C24,C24=C25,"AS")</f>
        <v>1</v>
      </c>
      <c r="D18" s="1">
        <f t="shared" si="8"/>
        <v>2</v>
      </c>
      <c r="E18" s="1">
        <f t="shared" si="8"/>
        <v>2</v>
      </c>
      <c r="F18" s="1">
        <f t="shared" si="8"/>
        <v>2</v>
      </c>
      <c r="G18" s="1">
        <f t="shared" si="8"/>
        <v>2</v>
      </c>
      <c r="H18" s="1">
        <f t="shared" si="8"/>
        <v>1</v>
      </c>
      <c r="I18" s="1">
        <f t="shared" si="8"/>
        <v>2</v>
      </c>
      <c r="J18" s="1">
        <f t="shared" si="8"/>
        <v>1</v>
      </c>
      <c r="K18" s="1">
        <f t="shared" si="8"/>
        <v>1</v>
      </c>
      <c r="L18" s="1">
        <f t="shared" si="8"/>
        <v>1</v>
      </c>
      <c r="M18" s="1">
        <f t="shared" si="8"/>
        <v>1</v>
      </c>
      <c r="N18" s="1" t="str">
        <f t="shared" si="8"/>
        <v>AS</v>
      </c>
      <c r="O18" s="1" t="str">
        <f t="shared" si="8"/>
        <v>AS</v>
      </c>
      <c r="P18" s="1">
        <f t="shared" si="8"/>
        <v>1</v>
      </c>
      <c r="Q18" s="1">
        <f t="shared" si="8"/>
        <v>3</v>
      </c>
      <c r="R18" s="1">
        <f t="shared" si="8"/>
        <v>3</v>
      </c>
      <c r="S18" s="1">
        <f t="shared" si="8"/>
        <v>3</v>
      </c>
      <c r="T18" s="1">
        <f t="shared" si="8"/>
        <v>4</v>
      </c>
      <c r="U18" s="1">
        <f t="shared" si="8"/>
        <v>3</v>
      </c>
      <c r="V18" s="1"/>
      <c r="W18" s="1"/>
    </row>
    <row r="19" hidden="1">
      <c r="A19" s="8"/>
      <c r="B19" s="117" t="s">
        <v>10</v>
      </c>
      <c r="C19" s="1" t="str">
        <f>IF(C$5&lt;C$7,C6,)</f>
        <v/>
      </c>
      <c r="D19" s="1" t="str">
        <f t="shared" ref="D19:K19" si="9">IF(D5&lt;D7,D6,)</f>
        <v/>
      </c>
      <c r="E19" s="1" t="str">
        <f t="shared" si="9"/>
        <v/>
      </c>
      <c r="F19" s="1" t="str">
        <f t="shared" si="9"/>
        <v/>
      </c>
      <c r="G19" s="1" t="str">
        <f t="shared" si="9"/>
        <v/>
      </c>
      <c r="H19" s="1" t="str">
        <f t="shared" si="9"/>
        <v>🚩</v>
      </c>
      <c r="I19" s="1" t="str">
        <f t="shared" si="9"/>
        <v/>
      </c>
      <c r="J19" s="1" t="str">
        <f t="shared" si="9"/>
        <v>🚩</v>
      </c>
      <c r="K19" s="1" t="str">
        <f t="shared" si="9"/>
        <v/>
      </c>
      <c r="L19" s="1"/>
      <c r="M19" s="1" t="str">
        <f t="shared" ref="M19:U19" si="10">IF(M5&lt;M7,M6,)</f>
        <v/>
      </c>
      <c r="N19" s="1" t="str">
        <f t="shared" si="10"/>
        <v>🚩</v>
      </c>
      <c r="O19" s="1" t="str">
        <f t="shared" si="10"/>
        <v/>
      </c>
      <c r="P19" s="1" t="str">
        <f t="shared" si="10"/>
        <v/>
      </c>
      <c r="Q19" s="1" t="str">
        <f t="shared" si="10"/>
        <v/>
      </c>
      <c r="R19" s="1" t="str">
        <f t="shared" si="10"/>
        <v/>
      </c>
      <c r="S19" s="1" t="str">
        <f t="shared" si="10"/>
        <v/>
      </c>
      <c r="T19" s="1" t="str">
        <f t="shared" si="10"/>
        <v/>
      </c>
      <c r="U19" s="1" t="str">
        <f t="shared" si="10"/>
        <v>🧻</v>
      </c>
      <c r="V19" s="1"/>
      <c r="W19" s="1"/>
    </row>
    <row r="20" hidden="1">
      <c r="A20" s="8"/>
      <c r="B20" s="118" t="s">
        <v>11</v>
      </c>
      <c r="C20" s="1" t="str">
        <f t="shared" ref="C20:K20" si="11">IF(C$5&gt;C$7,C8,)</f>
        <v>🧻</v>
      </c>
      <c r="D20" s="1" t="str">
        <f t="shared" si="11"/>
        <v>🚩</v>
      </c>
      <c r="E20" s="1" t="str">
        <f t="shared" si="11"/>
        <v/>
      </c>
      <c r="F20" s="1" t="str">
        <f t="shared" si="11"/>
        <v/>
      </c>
      <c r="G20" s="1" t="str">
        <f t="shared" si="11"/>
        <v/>
      </c>
      <c r="H20" s="1" t="str">
        <f t="shared" si="11"/>
        <v/>
      </c>
      <c r="I20" s="1" t="str">
        <f t="shared" si="11"/>
        <v>🚩</v>
      </c>
      <c r="J20" s="1" t="str">
        <f t="shared" si="11"/>
        <v/>
      </c>
      <c r="K20" s="1" t="str">
        <f t="shared" si="11"/>
        <v/>
      </c>
      <c r="L20" s="1"/>
      <c r="M20" s="1" t="str">
        <f t="shared" ref="M20:U20" si="12">IF(M$5&gt;M$7,M8,)</f>
        <v/>
      </c>
      <c r="N20" s="1" t="str">
        <f t="shared" si="12"/>
        <v/>
      </c>
      <c r="O20" s="1" t="str">
        <f t="shared" si="12"/>
        <v/>
      </c>
      <c r="P20" s="1" t="str">
        <f t="shared" si="12"/>
        <v>🚩</v>
      </c>
      <c r="Q20" s="1" t="str">
        <f t="shared" si="12"/>
        <v>🐥</v>
      </c>
      <c r="R20" s="1" t="str">
        <f t="shared" si="12"/>
        <v/>
      </c>
      <c r="S20" s="1" t="str">
        <f t="shared" si="12"/>
        <v/>
      </c>
      <c r="T20" s="1" t="str">
        <f t="shared" si="12"/>
        <v>🚩</v>
      </c>
      <c r="U20" s="1" t="str">
        <f t="shared" si="12"/>
        <v/>
      </c>
      <c r="V20" s="1"/>
      <c r="W20" s="1"/>
    </row>
    <row r="21" hidden="1">
      <c r="A21" s="8"/>
      <c r="B21" s="22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7"/>
      <c r="W21" s="1"/>
      <c r="AC21" s="1"/>
      <c r="AD21" s="1"/>
      <c r="AE21" s="1"/>
    </row>
    <row r="22" hidden="1">
      <c r="A22" s="8"/>
      <c r="B22" s="117" t="s">
        <v>10</v>
      </c>
      <c r="C22" s="1" t="str">
        <f t="shared" ref="C22:K22" si="13">IFS(C19=$AD$4,4,C19=$AD$5,2,C19=$AD$6,1,C19=$AD$7,1,C19=$AD$8,0.5,C19="",)</f>
        <v/>
      </c>
      <c r="D22" s="1" t="str">
        <f t="shared" si="13"/>
        <v/>
      </c>
      <c r="E22" s="1" t="str">
        <f t="shared" si="13"/>
        <v/>
      </c>
      <c r="F22" s="1" t="str">
        <f t="shared" si="13"/>
        <v/>
      </c>
      <c r="G22" s="1" t="str">
        <f t="shared" si="13"/>
        <v/>
      </c>
      <c r="H22" s="1">
        <f t="shared" si="13"/>
        <v>1</v>
      </c>
      <c r="I22" s="1" t="str">
        <f t="shared" si="13"/>
        <v/>
      </c>
      <c r="J22" s="1">
        <f t="shared" si="13"/>
        <v>1</v>
      </c>
      <c r="K22" s="1" t="str">
        <f t="shared" si="13"/>
        <v/>
      </c>
      <c r="L22" s="1"/>
      <c r="M22" s="1" t="str">
        <f t="shared" ref="M22:U22" si="14">IFS(M19=$AD$4,4,M19=$AD$5,2,M19=$AD$6,1,M19=$AD$7,1,M19=$AD$8,0.5,M19="",)</f>
        <v/>
      </c>
      <c r="N22" s="1">
        <f t="shared" si="14"/>
        <v>1</v>
      </c>
      <c r="O22" s="1" t="str">
        <f t="shared" si="14"/>
        <v/>
      </c>
      <c r="P22" s="1" t="str">
        <f t="shared" si="14"/>
        <v/>
      </c>
      <c r="Q22" s="1" t="str">
        <f t="shared" si="14"/>
        <v/>
      </c>
      <c r="R22" s="1" t="str">
        <f t="shared" si="14"/>
        <v/>
      </c>
      <c r="S22" s="1" t="str">
        <f t="shared" si="14"/>
        <v/>
      </c>
      <c r="T22" s="1" t="str">
        <f t="shared" si="14"/>
        <v/>
      </c>
      <c r="U22" s="1">
        <f t="shared" si="14"/>
        <v>1</v>
      </c>
      <c r="V22" s="1"/>
      <c r="W22" s="1"/>
      <c r="AC22" s="1"/>
      <c r="AD22" s="1"/>
      <c r="AE22" s="1"/>
    </row>
    <row r="23" hidden="1">
      <c r="A23" s="8"/>
      <c r="B23" s="118" t="s">
        <v>11</v>
      </c>
      <c r="C23" s="1">
        <f t="shared" ref="C23:K23" si="15">IFS(C20=$AD$4,4,C20=$AD$5,2,C20=$AD$6,1,C20=$AD$7,1,C20=$AD$8,0.5,C20="",)</f>
        <v>1</v>
      </c>
      <c r="D23" s="1">
        <f t="shared" si="15"/>
        <v>1</v>
      </c>
      <c r="E23" s="1" t="str">
        <f t="shared" si="15"/>
        <v/>
      </c>
      <c r="F23" s="1" t="str">
        <f t="shared" si="15"/>
        <v/>
      </c>
      <c r="G23" s="1" t="str">
        <f t="shared" si="15"/>
        <v/>
      </c>
      <c r="H23" s="1" t="str">
        <f t="shared" si="15"/>
        <v/>
      </c>
      <c r="I23" s="1">
        <f t="shared" si="15"/>
        <v>1</v>
      </c>
      <c r="J23" s="1" t="str">
        <f t="shared" si="15"/>
        <v/>
      </c>
      <c r="K23" s="1" t="str">
        <f t="shared" si="15"/>
        <v/>
      </c>
      <c r="L23" s="1"/>
      <c r="M23" s="1" t="str">
        <f t="shared" ref="M23:U23" si="16">IFS(M20=$AD$4,4,M20=$AD$5,2,M20=$AD$6,1,M20=$AD$7,1,M20=$AD$8,0.5,M20="",)</f>
        <v/>
      </c>
      <c r="N23" s="1" t="str">
        <f t="shared" si="16"/>
        <v/>
      </c>
      <c r="O23" s="1" t="str">
        <f t="shared" si="16"/>
        <v/>
      </c>
      <c r="P23" s="1">
        <f t="shared" si="16"/>
        <v>1</v>
      </c>
      <c r="Q23" s="1">
        <f t="shared" si="16"/>
        <v>2</v>
      </c>
      <c r="R23" s="1" t="str">
        <f t="shared" si="16"/>
        <v/>
      </c>
      <c r="S23" s="1" t="str">
        <f t="shared" si="16"/>
        <v/>
      </c>
      <c r="T23" s="1">
        <f t="shared" si="16"/>
        <v>1</v>
      </c>
      <c r="U23" s="1" t="str">
        <f t="shared" si="16"/>
        <v/>
      </c>
      <c r="V23" s="1"/>
      <c r="W23" s="1"/>
      <c r="AC23" s="1"/>
      <c r="AD23" s="1"/>
      <c r="AE23" s="1"/>
    </row>
    <row r="24" hidden="1">
      <c r="A24" s="8"/>
      <c r="B24" s="22" t="s">
        <v>83</v>
      </c>
      <c r="C24" s="1" t="str">
        <f t="shared" ref="C24:C25" si="18">C22</f>
        <v/>
      </c>
      <c r="D24" s="1">
        <f t="shared" ref="D24:U24" si="17">D22+C24</f>
        <v>0</v>
      </c>
      <c r="E24" s="1">
        <f t="shared" si="17"/>
        <v>0</v>
      </c>
      <c r="F24" s="1">
        <f t="shared" si="17"/>
        <v>0</v>
      </c>
      <c r="G24" s="1">
        <f t="shared" si="17"/>
        <v>0</v>
      </c>
      <c r="H24" s="1">
        <f t="shared" si="17"/>
        <v>1</v>
      </c>
      <c r="I24" s="1">
        <f t="shared" si="17"/>
        <v>1</v>
      </c>
      <c r="J24" s="1">
        <f t="shared" si="17"/>
        <v>2</v>
      </c>
      <c r="K24" s="1">
        <f t="shared" si="17"/>
        <v>2</v>
      </c>
      <c r="L24" s="1">
        <f t="shared" si="17"/>
        <v>2</v>
      </c>
      <c r="M24" s="1">
        <f t="shared" si="17"/>
        <v>2</v>
      </c>
      <c r="N24" s="1">
        <f t="shared" si="17"/>
        <v>3</v>
      </c>
      <c r="O24" s="1">
        <f t="shared" si="17"/>
        <v>3</v>
      </c>
      <c r="P24" s="1">
        <f t="shared" si="17"/>
        <v>3</v>
      </c>
      <c r="Q24" s="1">
        <f t="shared" si="17"/>
        <v>3</v>
      </c>
      <c r="R24" s="1">
        <f t="shared" si="17"/>
        <v>3</v>
      </c>
      <c r="S24" s="1">
        <f t="shared" si="17"/>
        <v>3</v>
      </c>
      <c r="T24" s="1">
        <f t="shared" si="17"/>
        <v>3</v>
      </c>
      <c r="U24" s="1">
        <f t="shared" si="17"/>
        <v>4</v>
      </c>
      <c r="V24" s="1"/>
      <c r="W24" s="1"/>
      <c r="AC24" s="1"/>
      <c r="AD24" s="1"/>
      <c r="AE24" s="1"/>
    </row>
    <row r="25" hidden="1">
      <c r="A25" s="8"/>
      <c r="B25" s="22" t="s">
        <v>84</v>
      </c>
      <c r="C25" s="1">
        <f t="shared" si="18"/>
        <v>1</v>
      </c>
      <c r="D25" s="1">
        <f t="shared" ref="D25:U25" si="19">D23+C25</f>
        <v>2</v>
      </c>
      <c r="E25" s="1">
        <f t="shared" si="19"/>
        <v>2</v>
      </c>
      <c r="F25" s="1">
        <f t="shared" si="19"/>
        <v>2</v>
      </c>
      <c r="G25" s="1">
        <f t="shared" si="19"/>
        <v>2</v>
      </c>
      <c r="H25" s="1">
        <f t="shared" si="19"/>
        <v>2</v>
      </c>
      <c r="I25" s="1">
        <f t="shared" si="19"/>
        <v>3</v>
      </c>
      <c r="J25" s="1">
        <f t="shared" si="19"/>
        <v>3</v>
      </c>
      <c r="K25" s="1">
        <f t="shared" si="19"/>
        <v>3</v>
      </c>
      <c r="L25" s="1">
        <f t="shared" si="19"/>
        <v>3</v>
      </c>
      <c r="M25" s="1">
        <f t="shared" si="19"/>
        <v>3</v>
      </c>
      <c r="N25" s="1">
        <f t="shared" si="19"/>
        <v>3</v>
      </c>
      <c r="O25" s="1">
        <f t="shared" si="19"/>
        <v>3</v>
      </c>
      <c r="P25" s="1">
        <f t="shared" si="19"/>
        <v>4</v>
      </c>
      <c r="Q25" s="1">
        <f t="shared" si="19"/>
        <v>6</v>
      </c>
      <c r="R25" s="1">
        <f t="shared" si="19"/>
        <v>6</v>
      </c>
      <c r="S25" s="1">
        <f t="shared" si="19"/>
        <v>6</v>
      </c>
      <c r="T25" s="1">
        <f t="shared" si="19"/>
        <v>7</v>
      </c>
      <c r="U25" s="1">
        <f t="shared" si="19"/>
        <v>7</v>
      </c>
      <c r="V25" s="1"/>
      <c r="W25" s="1"/>
      <c r="AC25" s="1"/>
      <c r="AD25" s="1"/>
      <c r="AE25" s="1"/>
    </row>
  </sheetData>
  <mergeCells count="12">
    <mergeCell ref="L5:L6"/>
    <mergeCell ref="L7:L8"/>
    <mergeCell ref="V7:V8"/>
    <mergeCell ref="W7:W8"/>
    <mergeCell ref="C2:Z2"/>
    <mergeCell ref="AB2:AE2"/>
    <mergeCell ref="B5:B6"/>
    <mergeCell ref="V5:V6"/>
    <mergeCell ref="W5:W6"/>
    <mergeCell ref="Z5:Z6"/>
    <mergeCell ref="B7:B8"/>
    <mergeCell ref="Z7:Z8"/>
  </mergeCells>
  <conditionalFormatting sqref="C5:K5 M5:U5 C7:K7 M7:U7">
    <cfRule type="cellIs" dxfId="5" priority="1" operator="lessThan">
      <formula>C$4</formula>
    </cfRule>
  </conditionalFormatting>
  <conditionalFormatting sqref="C5:K5 M5:U5 C7:K7 M7:U7">
    <cfRule type="cellIs" dxfId="6" priority="2" operator="greaterThan">
      <formula>C$4</formula>
    </cfRule>
  </conditionalFormatting>
  <conditionalFormatting sqref="C5:K5 M5:U5 C7:K7 M7:U7">
    <cfRule type="cellIs" dxfId="7" priority="3" operator="equal">
      <formula>C$4</formula>
    </cfRule>
  </conditionalFormatting>
  <conditionalFormatting sqref="X4:Z5 X7:Z7">
    <cfRule type="cellIs" dxfId="8" priority="4" operator="lessThan">
      <formula>0</formula>
    </cfRule>
  </conditionalFormatting>
  <conditionalFormatting sqref="C18:U18">
    <cfRule type="expression" dxfId="2" priority="5">
      <formula>C24&gt;C25</formula>
    </cfRule>
  </conditionalFormatting>
  <conditionalFormatting sqref="C18:U18">
    <cfRule type="expression" dxfId="0" priority="6">
      <formula>C24&lt;C25</formula>
    </cfRule>
  </conditionalFormatting>
  <conditionalFormatting sqref="C6:K6 M6:U6">
    <cfRule type="expression" dxfId="9" priority="7">
      <formula>C19&lt;&gt;""</formula>
    </cfRule>
  </conditionalFormatting>
  <conditionalFormatting sqref="C8:K8 M8:U8">
    <cfRule type="expression" dxfId="9" priority="8">
      <formula>C20&lt;&gt;""</formula>
    </cfRule>
  </conditionalFormatting>
  <drawing r:id="rId1"/>
</worksheet>
</file>